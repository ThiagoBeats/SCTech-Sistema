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Financeiro\Desktop\"/>
    </mc:Choice>
  </mc:AlternateContent>
  <xr:revisionPtr revIDLastSave="0" documentId="13_ncr:1_{C9EC943F-1B1C-485F-A3F1-84322B8CED77}" xr6:coauthVersionLast="47" xr6:coauthVersionMax="47" xr10:uidLastSave="{00000000-0000-0000-0000-000000000000}"/>
  <bookViews>
    <workbookView xWindow="-120" yWindow="-120" windowWidth="20730" windowHeight="11040" tabRatio="610" xr2:uid="{00000000-000D-0000-FFFF-FFFF00000000}"/>
  </bookViews>
  <sheets>
    <sheet name="Capa" sheetId="14" r:id="rId1"/>
    <sheet name="Promocionais-Book 06" sheetId="16" r:id="rId2"/>
    <sheet name="Book 10" sheetId="45" r:id="rId3"/>
    <sheet name="Book 12" sheetId="49" r:id="rId4"/>
    <sheet name="Book 13" sheetId="52" r:id="rId5"/>
    <sheet name="Book 14" sheetId="53" r:id="rId6"/>
    <sheet name="Book 15" sheetId="54" r:id="rId7"/>
    <sheet name="Book 16" sheetId="55" r:id="rId8"/>
    <sheet name="Trilho Motorizado" sheetId="50" r:id="rId9"/>
    <sheet name="Varão Prime Montado" sheetId="40" r:id="rId10"/>
    <sheet name="Trilho Slim Montado" sheetId="41" r:id="rId11"/>
    <sheet name="Trilho Square Montado" sheetId="39" r:id="rId12"/>
    <sheet name="Varão Unic 19mm Montado" sheetId="51" r:id="rId13"/>
    <sheet name="Wave-Square-Retangular" sheetId="22" r:id="rId14"/>
    <sheet name="Trilhos" sheetId="36" r:id="rId15"/>
    <sheet name="SUPPVC-Retangular-Unic" sheetId="47" r:id="rId16"/>
    <sheet name="Cor Metal" sheetId="6" r:id="rId17"/>
    <sheet name="Abraçadeira-Ponteira" sheetId="37" r:id="rId18"/>
    <sheet name="Cor Madeira" sheetId="12" r:id="rId19"/>
    <sheet name="Barras" sheetId="43" r:id="rId20"/>
    <sheet name="Broca-Bucha-Parafuso" sheetId="48" r:id="rId21"/>
    <sheet name="Aviamentos-Pingentes" sheetId="9" r:id="rId22"/>
  </sheets>
  <definedNames>
    <definedName name="_xlnm._FilterDatabase" localSheetId="8" hidden="1">'Trilho Motorizado'!$B$2:$F$43</definedName>
    <definedName name="_xlnm._FilterDatabase" localSheetId="10" hidden="1">'Trilho Slim Montado'!$A$2:$D$39</definedName>
    <definedName name="_xlnm._FilterDatabase" localSheetId="11" hidden="1">'Trilho Square Montado'!$A$2:$D$49</definedName>
    <definedName name="_xlnm._FilterDatabase" localSheetId="9" hidden="1">'Varão Prime Montado'!$A$2:$E$45</definedName>
    <definedName name="_xlnm._FilterDatabase" localSheetId="12" hidden="1">'Varão Unic 19mm Montado'!$A$2:$E$43</definedName>
    <definedName name="_xlnm.Print_Area" localSheetId="17">'Abraçadeira-Ponteira'!$A$1:$H$59</definedName>
    <definedName name="_xlnm.Print_Area" localSheetId="21">'Aviamentos-Pingentes'!$A$1:$E$72</definedName>
    <definedName name="_xlnm.Print_Area" localSheetId="19">Barras!$A$1:$E$52</definedName>
    <definedName name="_xlnm.Print_Area" localSheetId="2">'Book 10'!$A$1:$F$40</definedName>
    <definedName name="_xlnm.Print_Area" localSheetId="3">'Book 12'!$A$1:$F$41</definedName>
    <definedName name="_xlnm.Print_Area" localSheetId="4">'Book 13'!$A$1:$F$34</definedName>
    <definedName name="_xlnm.Print_Area" localSheetId="5">'Book 14'!$A$1:$F$32</definedName>
    <definedName name="_xlnm.Print_Area" localSheetId="6">'Book 15'!$A$1:$F$27</definedName>
    <definedName name="_xlnm.Print_Area" localSheetId="7">'Book 16'!$A$1:$F$20</definedName>
    <definedName name="_xlnm.Print_Area" localSheetId="20">'Broca-Bucha-Parafuso'!$A$1:$D$25</definedName>
    <definedName name="_xlnm.Print_Area" localSheetId="0">Capa!$A$1:$A$43</definedName>
    <definedName name="_xlnm.Print_Area" localSheetId="18">'Cor Madeira'!$A$1:$H$63</definedName>
    <definedName name="_xlnm.Print_Area" localSheetId="16">'Cor Metal'!$A$1:$I$62</definedName>
    <definedName name="_xlnm.Print_Area" localSheetId="1">'Promocionais-Book 06'!$A$1:$F$57</definedName>
    <definedName name="_xlnm.Print_Area" localSheetId="15">'SUPPVC-Retangular-Unic'!$A$1:$H$34</definedName>
    <definedName name="_xlnm.Print_Area" localSheetId="8">'Trilho Motorizado'!$A$1:$H$52</definedName>
    <definedName name="_xlnm.Print_Area" localSheetId="10">'Trilho Slim Montado'!$A$1:$I$44</definedName>
    <definedName name="_xlnm.Print_Area" localSheetId="11">'Trilho Square Montado'!$A$1:$I$54</definedName>
    <definedName name="_xlnm.Print_Area" localSheetId="14">Trilhos!$A$1:$E$57</definedName>
    <definedName name="_xlnm.Print_Area" localSheetId="9">'Varão Prime Montado'!$A$1:$I$56</definedName>
    <definedName name="_xlnm.Print_Area" localSheetId="12">'Varão Unic 19mm Montado'!$A$1:$I$54</definedName>
    <definedName name="_xlnm.Print_Area" localSheetId="13">'Wave-Square-Retangular'!$A$1:$G$67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50" l="1"/>
  <c r="G39" i="50"/>
  <c r="F32" i="45"/>
  <c r="F31" i="45"/>
  <c r="F30" i="45"/>
  <c r="E32" i="45"/>
  <c r="E31" i="45"/>
  <c r="E30" i="45"/>
  <c r="E72" i="9"/>
  <c r="E71" i="9"/>
  <c r="E70" i="9"/>
  <c r="E69" i="9"/>
  <c r="E68" i="9"/>
  <c r="E67" i="9"/>
  <c r="E66" i="9"/>
  <c r="E65" i="9"/>
  <c r="E64" i="9"/>
  <c r="E63" i="9"/>
  <c r="E62" i="9"/>
  <c r="E12" i="9"/>
  <c r="H5" i="12"/>
  <c r="H4" i="12"/>
  <c r="H25" i="47"/>
  <c r="H26" i="47"/>
  <c r="H27" i="47"/>
  <c r="H28" i="47"/>
  <c r="H29" i="47"/>
  <c r="H30" i="47"/>
  <c r="H31" i="47"/>
  <c r="H32" i="47"/>
  <c r="H33" i="47"/>
  <c r="G37" i="50"/>
  <c r="C57" i="16"/>
  <c r="C1" i="14" l="1"/>
  <c r="F3" i="16" l="1"/>
  <c r="E3" i="16"/>
  <c r="F56" i="16"/>
  <c r="F50" i="16"/>
  <c r="F55" i="16"/>
  <c r="F49" i="16"/>
  <c r="F48" i="16"/>
  <c r="F53" i="16"/>
  <c r="F47" i="16"/>
  <c r="F46" i="16"/>
  <c r="F45" i="16"/>
  <c r="F44" i="16"/>
  <c r="F54" i="16"/>
  <c r="F52" i="16"/>
  <c r="F51" i="16"/>
  <c r="F41" i="16"/>
  <c r="E21" i="16"/>
  <c r="E25" i="16"/>
  <c r="E29" i="16"/>
  <c r="F40" i="16"/>
  <c r="C22" i="16"/>
  <c r="C26" i="16"/>
  <c r="F39" i="16"/>
  <c r="E26" i="16"/>
  <c r="F38" i="16"/>
  <c r="C27" i="16"/>
  <c r="C31" i="16"/>
  <c r="E23" i="16"/>
  <c r="E31" i="16"/>
  <c r="C24" i="16"/>
  <c r="C32" i="16"/>
  <c r="E24" i="16"/>
  <c r="E32" i="16"/>
  <c r="C25" i="16"/>
  <c r="C30" i="16"/>
  <c r="E22" i="16"/>
  <c r="E30" i="16"/>
  <c r="C23" i="16"/>
  <c r="F37" i="16"/>
  <c r="E27" i="16"/>
  <c r="F36" i="16"/>
  <c r="C28" i="16"/>
  <c r="F35" i="16"/>
  <c r="E28" i="16"/>
  <c r="C21" i="16"/>
  <c r="C29" i="16"/>
  <c r="E18" i="16"/>
  <c r="E18" i="55"/>
  <c r="E14" i="55"/>
  <c r="E10" i="55"/>
  <c r="E6" i="55"/>
  <c r="E27" i="54"/>
  <c r="E38" i="49"/>
  <c r="E38" i="45"/>
  <c r="E34" i="45"/>
  <c r="E17" i="55"/>
  <c r="E9" i="55"/>
  <c r="E5" i="55"/>
  <c r="E37" i="49"/>
  <c r="E39" i="45"/>
  <c r="F18" i="55"/>
  <c r="F10" i="55"/>
  <c r="F27" i="54"/>
  <c r="F38" i="45"/>
  <c r="F18" i="16"/>
  <c r="F17" i="55"/>
  <c r="F13" i="55"/>
  <c r="F9" i="55"/>
  <c r="F5" i="55"/>
  <c r="F41" i="49"/>
  <c r="F37" i="49"/>
  <c r="F37" i="45"/>
  <c r="F12" i="16"/>
  <c r="E13" i="55"/>
  <c r="E41" i="49"/>
  <c r="E37" i="45"/>
  <c r="F20" i="55"/>
  <c r="F16" i="55"/>
  <c r="F12" i="55"/>
  <c r="F8" i="55"/>
  <c r="F4" i="55"/>
  <c r="F40" i="49"/>
  <c r="F40" i="45"/>
  <c r="F36" i="45"/>
  <c r="E20" i="55"/>
  <c r="E16" i="55"/>
  <c r="E12" i="55"/>
  <c r="E8" i="55"/>
  <c r="E4" i="55"/>
  <c r="E40" i="49"/>
  <c r="E40" i="45"/>
  <c r="E36" i="45"/>
  <c r="F19" i="55"/>
  <c r="F15" i="55"/>
  <c r="F11" i="55"/>
  <c r="F7" i="55"/>
  <c r="F3" i="55"/>
  <c r="F39" i="49"/>
  <c r="F39" i="45"/>
  <c r="F35" i="45"/>
  <c r="E19" i="55"/>
  <c r="E15" i="55"/>
  <c r="E11" i="55"/>
  <c r="E7" i="55"/>
  <c r="E3" i="55"/>
  <c r="E39" i="49"/>
  <c r="E35" i="45"/>
  <c r="F14" i="55"/>
  <c r="F6" i="55"/>
  <c r="F38" i="49"/>
  <c r="F34" i="45"/>
  <c r="G30" i="50"/>
  <c r="G22" i="50"/>
  <c r="G14" i="50"/>
  <c r="E29" i="50"/>
  <c r="E21" i="50"/>
  <c r="E13" i="50"/>
  <c r="C28" i="50"/>
  <c r="C20" i="50"/>
  <c r="C12" i="50"/>
  <c r="G21" i="50"/>
  <c r="G13" i="50"/>
  <c r="E28" i="50"/>
  <c r="E20" i="50"/>
  <c r="E12" i="50"/>
  <c r="C27" i="50"/>
  <c r="C19" i="50"/>
  <c r="C11" i="50"/>
  <c r="G20" i="50"/>
  <c r="G12" i="50"/>
  <c r="E27" i="50"/>
  <c r="E19" i="50"/>
  <c r="E11" i="50"/>
  <c r="C26" i="50"/>
  <c r="C18" i="50"/>
  <c r="C10" i="50"/>
  <c r="G19" i="50"/>
  <c r="G11" i="50"/>
  <c r="E26" i="50"/>
  <c r="E18" i="50"/>
  <c r="E10" i="50"/>
  <c r="C25" i="50"/>
  <c r="C17" i="50"/>
  <c r="C9" i="50"/>
  <c r="G18" i="50"/>
  <c r="G10" i="50"/>
  <c r="E25" i="50"/>
  <c r="E17" i="50"/>
  <c r="E9" i="50"/>
  <c r="C24" i="50"/>
  <c r="C16" i="50"/>
  <c r="C8" i="50"/>
  <c r="G29" i="50"/>
  <c r="G28" i="50"/>
  <c r="G27" i="50"/>
  <c r="G26" i="50"/>
  <c r="G25" i="50"/>
  <c r="G17" i="50"/>
  <c r="G9" i="50"/>
  <c r="E24" i="50"/>
  <c r="E16" i="50"/>
  <c r="E8" i="50"/>
  <c r="C23" i="50"/>
  <c r="C15" i="50"/>
  <c r="E15" i="54"/>
  <c r="E31" i="53" s="1"/>
  <c r="G16" i="50"/>
  <c r="G8" i="50"/>
  <c r="E23" i="50"/>
  <c r="E15" i="50"/>
  <c r="C30" i="50"/>
  <c r="C22" i="50"/>
  <c r="C14" i="50"/>
  <c r="G34" i="50"/>
  <c r="G15" i="50"/>
  <c r="E30" i="50"/>
  <c r="E22" i="50"/>
  <c r="E14" i="50"/>
  <c r="C29" i="50"/>
  <c r="C21" i="50"/>
  <c r="C13" i="50"/>
  <c r="G24" i="50"/>
  <c r="G23" i="50"/>
  <c r="F26" i="54"/>
  <c r="F22" i="54"/>
  <c r="F18" i="54"/>
  <c r="E14" i="54"/>
  <c r="E32" i="53" s="1"/>
  <c r="E10" i="54"/>
  <c r="E6" i="54"/>
  <c r="E28" i="53"/>
  <c r="E24" i="53"/>
  <c r="E20" i="53"/>
  <c r="E16" i="53"/>
  <c r="E12" i="53"/>
  <c r="E9" i="53"/>
  <c r="E4" i="49" s="1"/>
  <c r="E5" i="53"/>
  <c r="E5" i="52"/>
  <c r="F7" i="52"/>
  <c r="F11" i="52"/>
  <c r="F15" i="52"/>
  <c r="F19" i="52"/>
  <c r="F23" i="52"/>
  <c r="F27" i="52"/>
  <c r="F32" i="52"/>
  <c r="E33" i="45"/>
  <c r="E26" i="54"/>
  <c r="E22" i="54"/>
  <c r="E18" i="54"/>
  <c r="F13" i="54"/>
  <c r="F9" i="54"/>
  <c r="F5" i="54"/>
  <c r="F27" i="53"/>
  <c r="F23" i="53"/>
  <c r="F19" i="53"/>
  <c r="F15" i="53"/>
  <c r="F11" i="53"/>
  <c r="F8" i="53"/>
  <c r="F3" i="49" s="1"/>
  <c r="F4" i="53"/>
  <c r="E3" i="52"/>
  <c r="E8" i="52"/>
  <c r="E12" i="52"/>
  <c r="E16" i="52"/>
  <c r="E20" i="52"/>
  <c r="E24" i="52"/>
  <c r="E28" i="52"/>
  <c r="E33" i="52"/>
  <c r="E11" i="52"/>
  <c r="E15" i="52"/>
  <c r="E23" i="52"/>
  <c r="E27" i="52"/>
  <c r="E32" i="52"/>
  <c r="D36" i="36"/>
  <c r="F25" i="54"/>
  <c r="F21" i="54"/>
  <c r="F17" i="54"/>
  <c r="E13" i="54"/>
  <c r="E9" i="54"/>
  <c r="E5" i="54"/>
  <c r="E27" i="53"/>
  <c r="E23" i="53"/>
  <c r="E19" i="53"/>
  <c r="E15" i="53"/>
  <c r="E11" i="53"/>
  <c r="E8" i="53"/>
  <c r="E3" i="49" s="1"/>
  <c r="E4" i="53"/>
  <c r="F3" i="52"/>
  <c r="F8" i="52"/>
  <c r="F12" i="52"/>
  <c r="F16" i="52"/>
  <c r="F20" i="52"/>
  <c r="F24" i="52"/>
  <c r="F28" i="52"/>
  <c r="F33" i="52"/>
  <c r="E7" i="52"/>
  <c r="F33" i="45"/>
  <c r="D43" i="36"/>
  <c r="E25" i="54"/>
  <c r="E21" i="54"/>
  <c r="E17" i="54"/>
  <c r="F12" i="54"/>
  <c r="F29" i="53" s="1"/>
  <c r="F8" i="54"/>
  <c r="F4" i="54"/>
  <c r="F30" i="53"/>
  <c r="F26" i="53"/>
  <c r="F22" i="53"/>
  <c r="F18" i="53"/>
  <c r="F14" i="53"/>
  <c r="F7" i="53"/>
  <c r="E4" i="52"/>
  <c r="E9" i="52"/>
  <c r="E13" i="52"/>
  <c r="E3" i="53" s="1"/>
  <c r="E17" i="52"/>
  <c r="E21" i="52"/>
  <c r="E25" i="52"/>
  <c r="E30" i="52"/>
  <c r="E34" i="52"/>
  <c r="F14" i="54"/>
  <c r="F32" i="53" s="1"/>
  <c r="F24" i="53"/>
  <c r="E19" i="52"/>
  <c r="F24" i="54"/>
  <c r="F20" i="54"/>
  <c r="F16" i="54"/>
  <c r="E12" i="54"/>
  <c r="E29" i="53" s="1"/>
  <c r="E8" i="54"/>
  <c r="E4" i="54"/>
  <c r="E30" i="53"/>
  <c r="E26" i="53"/>
  <c r="E22" i="53"/>
  <c r="E18" i="53"/>
  <c r="E14" i="53"/>
  <c r="E7" i="53"/>
  <c r="F4" i="52"/>
  <c r="F9" i="52"/>
  <c r="F13" i="52"/>
  <c r="F3" i="53" s="1"/>
  <c r="F17" i="52"/>
  <c r="F21" i="52"/>
  <c r="F25" i="52"/>
  <c r="F30" i="52"/>
  <c r="F34" i="52"/>
  <c r="E36" i="49"/>
  <c r="E19" i="54"/>
  <c r="F6" i="54"/>
  <c r="F28" i="53"/>
  <c r="F20" i="53"/>
  <c r="F16" i="53"/>
  <c r="F12" i="53"/>
  <c r="F5" i="53"/>
  <c r="F5" i="52"/>
  <c r="E24" i="54"/>
  <c r="E20" i="54"/>
  <c r="E16" i="54"/>
  <c r="F11" i="54"/>
  <c r="F7" i="54"/>
  <c r="F3" i="54"/>
  <c r="F25" i="53"/>
  <c r="F21" i="53"/>
  <c r="F17" i="53"/>
  <c r="F13" i="53"/>
  <c r="F10" i="53"/>
  <c r="F16" i="49" s="1"/>
  <c r="F6" i="53"/>
  <c r="F29" i="52"/>
  <c r="E6" i="52"/>
  <c r="E10" i="52"/>
  <c r="E14" i="52"/>
  <c r="E18" i="52"/>
  <c r="E22" i="52"/>
  <c r="E26" i="52"/>
  <c r="E31" i="52"/>
  <c r="E31" i="49"/>
  <c r="E23" i="54"/>
  <c r="F36" i="49"/>
  <c r="F23" i="54"/>
  <c r="F19" i="54"/>
  <c r="F15" i="54"/>
  <c r="F31" i="53" s="1"/>
  <c r="E11" i="54"/>
  <c r="E7" i="54"/>
  <c r="E3" i="54"/>
  <c r="E25" i="53"/>
  <c r="E21" i="53"/>
  <c r="E17" i="53"/>
  <c r="E13" i="53"/>
  <c r="E10" i="53"/>
  <c r="E16" i="49" s="1"/>
  <c r="E6" i="53"/>
  <c r="E29" i="52"/>
  <c r="F6" i="52"/>
  <c r="F10" i="52"/>
  <c r="F14" i="52"/>
  <c r="F18" i="52"/>
  <c r="F22" i="52"/>
  <c r="F26" i="52"/>
  <c r="F31" i="52"/>
  <c r="F31" i="49"/>
  <c r="F10" i="54"/>
  <c r="F9" i="53"/>
  <c r="F4" i="49" s="1"/>
  <c r="F7" i="16"/>
  <c r="E7" i="16"/>
  <c r="E11" i="16"/>
  <c r="F10" i="16"/>
  <c r="E10" i="16"/>
  <c r="F9" i="16"/>
  <c r="F11" i="16"/>
  <c r="F13" i="16"/>
  <c r="E12" i="16"/>
  <c r="E13" i="16"/>
  <c r="E17" i="16"/>
  <c r="F14" i="16"/>
  <c r="E16" i="16"/>
  <c r="E9" i="16"/>
  <c r="F17" i="16"/>
  <c r="F15" i="16"/>
  <c r="E15" i="16"/>
  <c r="F16" i="16"/>
  <c r="E14" i="16"/>
  <c r="G10" i="22"/>
  <c r="G9" i="22"/>
  <c r="G8" i="22"/>
  <c r="G11" i="22"/>
  <c r="I29" i="51"/>
  <c r="I28" i="51"/>
  <c r="I27" i="51"/>
  <c r="I26" i="51"/>
  <c r="I25" i="51"/>
  <c r="I24" i="51"/>
  <c r="I23" i="51"/>
  <c r="I22" i="51"/>
  <c r="I21" i="51"/>
  <c r="I20" i="51"/>
  <c r="I19" i="51"/>
  <c r="I14" i="51"/>
  <c r="I12" i="51"/>
  <c r="I10" i="51"/>
  <c r="I8" i="51"/>
  <c r="I5" i="51"/>
  <c r="H22" i="51"/>
  <c r="H14" i="51"/>
  <c r="H10" i="51"/>
  <c r="H7" i="51"/>
  <c r="D33" i="43"/>
  <c r="G12" i="51"/>
  <c r="G6" i="51"/>
  <c r="H28" i="51"/>
  <c r="H21" i="51"/>
  <c r="H15" i="51"/>
  <c r="H12" i="51"/>
  <c r="H8" i="51"/>
  <c r="H5" i="51"/>
  <c r="G14" i="51"/>
  <c r="G10" i="51"/>
  <c r="G7" i="51"/>
  <c r="G29" i="51"/>
  <c r="G28" i="51"/>
  <c r="G27" i="51"/>
  <c r="G26" i="51"/>
  <c r="G25" i="51"/>
  <c r="G24" i="51"/>
  <c r="G23" i="51"/>
  <c r="G22" i="51"/>
  <c r="G21" i="51"/>
  <c r="G20" i="51"/>
  <c r="G19" i="51"/>
  <c r="G13" i="51"/>
  <c r="G11" i="51"/>
  <c r="G9" i="51"/>
  <c r="G5" i="51"/>
  <c r="F29" i="51"/>
  <c r="F28" i="51"/>
  <c r="F27" i="51"/>
  <c r="F26" i="51"/>
  <c r="F25" i="51"/>
  <c r="F24" i="51"/>
  <c r="F23" i="51"/>
  <c r="F22" i="51"/>
  <c r="F21" i="51"/>
  <c r="F20" i="51"/>
  <c r="F19" i="51"/>
  <c r="F5" i="51"/>
  <c r="D32" i="43"/>
  <c r="E5" i="51"/>
  <c r="D28" i="51"/>
  <c r="D21" i="51"/>
  <c r="D19" i="51"/>
  <c r="D31" i="43"/>
  <c r="E30" i="43"/>
  <c r="E29" i="51"/>
  <c r="E28" i="51"/>
  <c r="E27" i="51"/>
  <c r="E26" i="51"/>
  <c r="E25" i="51"/>
  <c r="E24" i="51"/>
  <c r="E23" i="51"/>
  <c r="E22" i="51"/>
  <c r="E21" i="51"/>
  <c r="E20" i="51"/>
  <c r="E19" i="51"/>
  <c r="E31" i="43"/>
  <c r="D27" i="51"/>
  <c r="D26" i="51"/>
  <c r="D25" i="51"/>
  <c r="D24" i="51"/>
  <c r="D23" i="51"/>
  <c r="D22" i="51"/>
  <c r="D20" i="51"/>
  <c r="D5" i="51"/>
  <c r="C21" i="51"/>
  <c r="E32" i="43"/>
  <c r="D29" i="51"/>
  <c r="C19" i="51"/>
  <c r="C29" i="51"/>
  <c r="C28" i="51"/>
  <c r="C27" i="51"/>
  <c r="C26" i="51"/>
  <c r="C25" i="51"/>
  <c r="C24" i="51"/>
  <c r="C23" i="51"/>
  <c r="C22" i="51"/>
  <c r="C20" i="51"/>
  <c r="C5" i="51"/>
  <c r="B29" i="51"/>
  <c r="B28" i="51"/>
  <c r="B27" i="51"/>
  <c r="B26" i="51"/>
  <c r="B25" i="51"/>
  <c r="B24" i="51"/>
  <c r="B23" i="51"/>
  <c r="B22" i="51"/>
  <c r="B21" i="51"/>
  <c r="B20" i="51"/>
  <c r="B19" i="51"/>
  <c r="B5" i="51"/>
  <c r="D30" i="43"/>
  <c r="I15" i="51"/>
  <c r="I13" i="51"/>
  <c r="I11" i="51"/>
  <c r="I9" i="51"/>
  <c r="I7" i="51"/>
  <c r="I6" i="51"/>
  <c r="E33" i="43"/>
  <c r="H29" i="51"/>
  <c r="H27" i="51"/>
  <c r="H26" i="51"/>
  <c r="H25" i="51"/>
  <c r="H24" i="51"/>
  <c r="H23" i="51"/>
  <c r="H20" i="51"/>
  <c r="H19" i="51"/>
  <c r="H13" i="51"/>
  <c r="H11" i="51"/>
  <c r="H9" i="51"/>
  <c r="H6" i="51"/>
  <c r="G15" i="51"/>
  <c r="G8" i="51"/>
  <c r="G37" i="22"/>
  <c r="E33" i="9"/>
  <c r="E41" i="9"/>
  <c r="G5" i="47"/>
  <c r="F3" i="47"/>
  <c r="F67" i="22"/>
  <c r="E42" i="9"/>
  <c r="H10" i="6"/>
  <c r="E35" i="9"/>
  <c r="E43" i="9"/>
  <c r="G3" i="47"/>
  <c r="E38" i="9"/>
  <c r="H9" i="6"/>
  <c r="E36" i="9"/>
  <c r="E44" i="9"/>
  <c r="F8" i="47"/>
  <c r="D36" i="6"/>
  <c r="G36" i="50"/>
  <c r="D37" i="6"/>
  <c r="E37" i="9"/>
  <c r="E45" i="9"/>
  <c r="F7" i="47"/>
  <c r="G35" i="50"/>
  <c r="F6" i="47"/>
  <c r="G6" i="47"/>
  <c r="G33" i="50"/>
  <c r="G37" i="6"/>
  <c r="E39" i="9"/>
  <c r="G8" i="47"/>
  <c r="F5" i="47"/>
  <c r="E34" i="9"/>
  <c r="G32" i="50"/>
  <c r="G36" i="6"/>
  <c r="E40" i="9"/>
  <c r="G7" i="47"/>
  <c r="F4" i="47"/>
  <c r="G4" i="47"/>
  <c r="D42" i="36"/>
  <c r="G39" i="22" s="1"/>
  <c r="G5" i="22"/>
  <c r="E10" i="43"/>
  <c r="I15" i="40"/>
  <c r="I14" i="40"/>
  <c r="I13" i="40"/>
  <c r="I12" i="40"/>
  <c r="I11" i="40"/>
  <c r="I10" i="40"/>
  <c r="I9" i="40"/>
  <c r="I8" i="40"/>
  <c r="I7" i="40"/>
  <c r="I6" i="40"/>
  <c r="I5" i="40"/>
  <c r="E5" i="40"/>
  <c r="E34" i="49"/>
  <c r="E32" i="49"/>
  <c r="F29" i="49"/>
  <c r="D25" i="48"/>
  <c r="D10" i="43"/>
  <c r="H15" i="40"/>
  <c r="H14" i="40"/>
  <c r="H13" i="40"/>
  <c r="H12" i="40"/>
  <c r="H11" i="40"/>
  <c r="H10" i="40"/>
  <c r="H9" i="40"/>
  <c r="H8" i="40"/>
  <c r="H7" i="40"/>
  <c r="H6" i="40"/>
  <c r="H5" i="40"/>
  <c r="D5" i="40"/>
  <c r="E29" i="49"/>
  <c r="E23" i="49"/>
  <c r="E22" i="49"/>
  <c r="E19" i="49"/>
  <c r="E17" i="49"/>
  <c r="E6" i="43"/>
  <c r="C5" i="40"/>
  <c r="E35" i="49"/>
  <c r="E30" i="49"/>
  <c r="E25" i="49"/>
  <c r="E20" i="49"/>
  <c r="E14" i="49"/>
  <c r="E12" i="49"/>
  <c r="E10" i="49"/>
  <c r="E8" i="49"/>
  <c r="E6" i="49"/>
  <c r="D6" i="43"/>
  <c r="B5" i="40"/>
  <c r="E27" i="49"/>
  <c r="E28" i="49"/>
  <c r="E24" i="49"/>
  <c r="E21" i="49"/>
  <c r="E15" i="49"/>
  <c r="E20" i="43"/>
  <c r="G15" i="40"/>
  <c r="G14" i="40"/>
  <c r="G13" i="40"/>
  <c r="G12" i="40"/>
  <c r="G11" i="40"/>
  <c r="G10" i="40"/>
  <c r="G9" i="40"/>
  <c r="G8" i="40"/>
  <c r="G7" i="40"/>
  <c r="G6" i="40"/>
  <c r="G5" i="40"/>
  <c r="F32" i="49"/>
  <c r="E26" i="49"/>
  <c r="E13" i="49"/>
  <c r="E11" i="49"/>
  <c r="E9" i="49"/>
  <c r="E7" i="49"/>
  <c r="E5" i="49"/>
  <c r="D20" i="43"/>
  <c r="E18" i="49"/>
  <c r="F5" i="40"/>
  <c r="E33" i="49"/>
  <c r="F14" i="49"/>
  <c r="F12" i="49"/>
  <c r="F30" i="49"/>
  <c r="F33" i="49"/>
  <c r="F7" i="49"/>
  <c r="F28" i="49"/>
  <c r="F20" i="49"/>
  <c r="F18" i="49"/>
  <c r="F34" i="49"/>
  <c r="F25" i="49"/>
  <c r="F35" i="49"/>
  <c r="F9" i="49"/>
  <c r="F22" i="49"/>
  <c r="F6" i="49"/>
  <c r="F24" i="49"/>
  <c r="F15" i="49"/>
  <c r="F11" i="49"/>
  <c r="F17" i="49"/>
  <c r="F23" i="49"/>
  <c r="F10" i="49"/>
  <c r="F8" i="49"/>
  <c r="F27" i="49"/>
  <c r="F21" i="49"/>
  <c r="F5" i="49"/>
  <c r="F13" i="49"/>
  <c r="F19" i="49"/>
  <c r="F26" i="49"/>
  <c r="E47" i="43"/>
  <c r="E43" i="43"/>
  <c r="E39" i="43"/>
  <c r="E37" i="43"/>
  <c r="E44" i="43"/>
  <c r="E36" i="43"/>
  <c r="E46" i="43"/>
  <c r="E42" i="43"/>
  <c r="E38" i="43"/>
  <c r="E45" i="43"/>
  <c r="E41" i="43"/>
  <c r="E48" i="43"/>
  <c r="E40" i="43"/>
  <c r="H24" i="40"/>
  <c r="H20" i="40"/>
  <c r="H27" i="40"/>
  <c r="H23" i="40"/>
  <c r="H19" i="40"/>
  <c r="H26" i="40"/>
  <c r="H22" i="40"/>
  <c r="H29" i="40"/>
  <c r="H25" i="40"/>
  <c r="H21" i="40"/>
  <c r="H28" i="40"/>
  <c r="H29" i="39"/>
  <c r="H25" i="39"/>
  <c r="H21" i="39"/>
  <c r="H14" i="39"/>
  <c r="H10" i="39"/>
  <c r="H6" i="39"/>
  <c r="H27" i="41"/>
  <c r="H23" i="41"/>
  <c r="H19" i="41"/>
  <c r="H12" i="41"/>
  <c r="H8" i="41"/>
  <c r="H22" i="39"/>
  <c r="H7" i="39"/>
  <c r="H20" i="41"/>
  <c r="H5" i="41"/>
  <c r="H28" i="39"/>
  <c r="H24" i="39"/>
  <c r="H20" i="39"/>
  <c r="H13" i="39"/>
  <c r="H9" i="39"/>
  <c r="H5" i="39"/>
  <c r="H26" i="41"/>
  <c r="H22" i="41"/>
  <c r="H15" i="41"/>
  <c r="H11" i="41"/>
  <c r="H7" i="41"/>
  <c r="H15" i="39"/>
  <c r="H11" i="39"/>
  <c r="H24" i="41"/>
  <c r="H9" i="41"/>
  <c r="H27" i="39"/>
  <c r="H23" i="39"/>
  <c r="H19" i="39"/>
  <c r="H12" i="39"/>
  <c r="H8" i="39"/>
  <c r="H29" i="41"/>
  <c r="H25" i="41"/>
  <c r="H21" i="41"/>
  <c r="H14" i="41"/>
  <c r="H10" i="41"/>
  <c r="H6" i="41"/>
  <c r="H26" i="39"/>
  <c r="H28" i="41"/>
  <c r="H13" i="41"/>
  <c r="E22" i="9"/>
  <c r="E5" i="36"/>
  <c r="G13" i="22" s="1"/>
  <c r="E52" i="36"/>
  <c r="E29" i="36"/>
  <c r="D7" i="43"/>
  <c r="D48" i="43"/>
  <c r="D43" i="43"/>
  <c r="D39" i="43"/>
  <c r="D26" i="43"/>
  <c r="D24" i="43"/>
  <c r="D22" i="43"/>
  <c r="D19" i="43"/>
  <c r="D17" i="43"/>
  <c r="D15" i="43"/>
  <c r="D13" i="43"/>
  <c r="D9" i="43"/>
  <c r="D5" i="43"/>
  <c r="D29" i="43"/>
  <c r="D24" i="48"/>
  <c r="D20" i="48"/>
  <c r="D14" i="48"/>
  <c r="D10" i="48"/>
  <c r="D6" i="48"/>
  <c r="H59" i="12"/>
  <c r="D59" i="12"/>
  <c r="F58" i="12"/>
  <c r="H55" i="12"/>
  <c r="D55" i="12"/>
  <c r="F54" i="12"/>
  <c r="H53" i="12"/>
  <c r="D53" i="12"/>
  <c r="F52" i="12"/>
  <c r="H47" i="12"/>
  <c r="D47" i="12"/>
  <c r="E46" i="12"/>
  <c r="F49" i="12"/>
  <c r="H48" i="12"/>
  <c r="D48" i="12"/>
  <c r="F43" i="12"/>
  <c r="H42" i="12"/>
  <c r="D42" i="12"/>
  <c r="H7" i="47" s="1"/>
  <c r="F41" i="12"/>
  <c r="H40" i="12"/>
  <c r="D40" i="12"/>
  <c r="H5" i="47" s="1"/>
  <c r="F39" i="12"/>
  <c r="H38" i="12"/>
  <c r="D38" i="12"/>
  <c r="H3" i="47" s="1"/>
  <c r="F35" i="12"/>
  <c r="G34" i="12"/>
  <c r="H31" i="12"/>
  <c r="D31" i="12"/>
  <c r="E30" i="12"/>
  <c r="F29" i="12"/>
  <c r="G28" i="12"/>
  <c r="H27" i="12"/>
  <c r="D27" i="12"/>
  <c r="E26" i="12"/>
  <c r="F25" i="12"/>
  <c r="G24" i="12"/>
  <c r="H23" i="12"/>
  <c r="D23" i="12"/>
  <c r="E22" i="12"/>
  <c r="F21" i="12"/>
  <c r="G20" i="12"/>
  <c r="H19" i="12"/>
  <c r="D19" i="12"/>
  <c r="E18" i="12"/>
  <c r="F17" i="12"/>
  <c r="G16" i="12"/>
  <c r="H15" i="12"/>
  <c r="D15" i="12"/>
  <c r="E7" i="12"/>
  <c r="F6" i="12"/>
  <c r="F5" i="12"/>
  <c r="G4" i="12"/>
  <c r="E20" i="36"/>
  <c r="G33" i="22" s="1"/>
  <c r="D37" i="43"/>
  <c r="E23" i="43"/>
  <c r="E18" i="43"/>
  <c r="E14" i="43"/>
  <c r="E8" i="43"/>
  <c r="D28" i="43"/>
  <c r="D19" i="48"/>
  <c r="D9" i="48"/>
  <c r="E12" i="43"/>
  <c r="D47" i="43"/>
  <c r="D42" i="43"/>
  <c r="E25" i="43"/>
  <c r="E21" i="43"/>
  <c r="E16" i="43"/>
  <c r="E11" i="43"/>
  <c r="E29" i="43"/>
  <c r="D23" i="48"/>
  <c r="D16" i="48"/>
  <c r="E8" i="36"/>
  <c r="D12" i="43"/>
  <c r="D46" i="43"/>
  <c r="D41" i="43"/>
  <c r="D36" i="43"/>
  <c r="D25" i="43"/>
  <c r="D23" i="43"/>
  <c r="D21" i="43"/>
  <c r="D18" i="43"/>
  <c r="D16" i="43"/>
  <c r="D14" i="43"/>
  <c r="D11" i="43"/>
  <c r="D8" i="43"/>
  <c r="E28" i="43"/>
  <c r="D27" i="43"/>
  <c r="D22" i="48"/>
  <c r="D5" i="48"/>
  <c r="D15" i="48"/>
  <c r="D8" i="48"/>
  <c r="D3" i="48"/>
  <c r="F59" i="12"/>
  <c r="H58" i="12"/>
  <c r="D58" i="12"/>
  <c r="F55" i="12"/>
  <c r="H54" i="12"/>
  <c r="D54" i="12"/>
  <c r="F53" i="12"/>
  <c r="H52" i="12"/>
  <c r="D52" i="12"/>
  <c r="F47" i="12"/>
  <c r="G46" i="12"/>
  <c r="H49" i="12"/>
  <c r="D49" i="12"/>
  <c r="F48" i="12"/>
  <c r="H43" i="12"/>
  <c r="D43" i="12"/>
  <c r="H8" i="47" s="1"/>
  <c r="F42" i="12"/>
  <c r="H41" i="12"/>
  <c r="D41" i="12"/>
  <c r="H6" i="47" s="1"/>
  <c r="F40" i="12"/>
  <c r="H39" i="12"/>
  <c r="D39" i="12"/>
  <c r="H4" i="47" s="1"/>
  <c r="F38" i="12"/>
  <c r="H35" i="12"/>
  <c r="D35" i="12"/>
  <c r="E34" i="12"/>
  <c r="F31" i="12"/>
  <c r="G30" i="12"/>
  <c r="H29" i="12"/>
  <c r="D29" i="12"/>
  <c r="E28" i="12"/>
  <c r="F27" i="12"/>
  <c r="G26" i="12"/>
  <c r="H25" i="12"/>
  <c r="D25" i="12"/>
  <c r="E24" i="12"/>
  <c r="F23" i="12"/>
  <c r="G22" i="12"/>
  <c r="H21" i="12"/>
  <c r="D21" i="12"/>
  <c r="E20" i="12"/>
  <c r="F19" i="12"/>
  <c r="G18" i="12"/>
  <c r="H17" i="12"/>
  <c r="D17" i="12"/>
  <c r="E16" i="12"/>
  <c r="F15" i="12"/>
  <c r="G7" i="12"/>
  <c r="H6" i="12"/>
  <c r="D6" i="12"/>
  <c r="D5" i="12"/>
  <c r="E4" i="12"/>
  <c r="E7" i="43"/>
  <c r="E19" i="43"/>
  <c r="E9" i="43"/>
  <c r="D11" i="48"/>
  <c r="E3" i="9"/>
  <c r="E6" i="36"/>
  <c r="G14" i="22" s="1"/>
  <c r="D38" i="43"/>
  <c r="E30" i="36"/>
  <c r="D45" i="43"/>
  <c r="D44" i="43"/>
  <c r="D40" i="43"/>
  <c r="E26" i="43"/>
  <c r="E24" i="43"/>
  <c r="E22" i="43"/>
  <c r="E17" i="43"/>
  <c r="E15" i="43"/>
  <c r="E13" i="43"/>
  <c r="E5" i="43"/>
  <c r="E27" i="43"/>
  <c r="D21" i="48"/>
  <c r="D7" i="48"/>
  <c r="E59" i="12"/>
  <c r="C59" i="12"/>
  <c r="G55" i="12"/>
  <c r="E54" i="12"/>
  <c r="C53" i="12"/>
  <c r="G47" i="12"/>
  <c r="D46" i="12"/>
  <c r="G48" i="12"/>
  <c r="E43" i="12"/>
  <c r="C42" i="12"/>
  <c r="G40" i="12"/>
  <c r="E39" i="12"/>
  <c r="C38" i="12"/>
  <c r="F34" i="12"/>
  <c r="H30" i="12"/>
  <c r="E29" i="12"/>
  <c r="G27" i="12"/>
  <c r="D26" i="12"/>
  <c r="F24" i="12"/>
  <c r="H22" i="12"/>
  <c r="E21" i="12"/>
  <c r="G19" i="12"/>
  <c r="D18" i="12"/>
  <c r="F16" i="12"/>
  <c r="H7" i="12"/>
  <c r="E6" i="12"/>
  <c r="F4" i="12"/>
  <c r="G58" i="12"/>
  <c r="E55" i="12"/>
  <c r="C54" i="12"/>
  <c r="G52" i="12"/>
  <c r="E47" i="12"/>
  <c r="G49" i="12"/>
  <c r="E48" i="12"/>
  <c r="C43" i="12"/>
  <c r="G41" i="12"/>
  <c r="E40" i="12"/>
  <c r="C39" i="12"/>
  <c r="G35" i="12"/>
  <c r="D34" i="12"/>
  <c r="F30" i="12"/>
  <c r="H28" i="12"/>
  <c r="E27" i="12"/>
  <c r="G25" i="12"/>
  <c r="D24" i="12"/>
  <c r="F22" i="12"/>
  <c r="H20" i="12"/>
  <c r="E19" i="12"/>
  <c r="G17" i="12"/>
  <c r="D16" i="12"/>
  <c r="F7" i="12"/>
  <c r="G5" i="12"/>
  <c r="D4" i="12"/>
  <c r="D4" i="48"/>
  <c r="E58" i="12"/>
  <c r="C55" i="12"/>
  <c r="G53" i="12"/>
  <c r="E52" i="12"/>
  <c r="H46" i="12"/>
  <c r="E49" i="12"/>
  <c r="C48" i="12"/>
  <c r="G42" i="12"/>
  <c r="E41" i="12"/>
  <c r="C40" i="12"/>
  <c r="G38" i="12"/>
  <c r="E35" i="12"/>
  <c r="G31" i="12"/>
  <c r="D30" i="12"/>
  <c r="F28" i="12"/>
  <c r="H26" i="12"/>
  <c r="E25" i="12"/>
  <c r="G23" i="12"/>
  <c r="D22" i="12"/>
  <c r="F20" i="12"/>
  <c r="H18" i="12"/>
  <c r="E17" i="12"/>
  <c r="G15" i="12"/>
  <c r="D7" i="12"/>
  <c r="E5" i="12"/>
  <c r="G59" i="12"/>
  <c r="C58" i="12"/>
  <c r="G54" i="12"/>
  <c r="E53" i="12"/>
  <c r="C52" i="12"/>
  <c r="F46" i="12"/>
  <c r="C49" i="12"/>
  <c r="C41" i="12"/>
  <c r="E31" i="12"/>
  <c r="H24" i="12"/>
  <c r="F18" i="12"/>
  <c r="C5" i="12"/>
  <c r="G39" i="12"/>
  <c r="G29" i="12"/>
  <c r="E23" i="12"/>
  <c r="H16" i="12"/>
  <c r="G43" i="12"/>
  <c r="E38" i="12"/>
  <c r="D28" i="12"/>
  <c r="G21" i="12"/>
  <c r="E15" i="12"/>
  <c r="E42" i="12"/>
  <c r="H34" i="12"/>
  <c r="F26" i="12"/>
  <c r="D20" i="12"/>
  <c r="G6" i="12"/>
  <c r="G66" i="22"/>
  <c r="F66" i="22"/>
  <c r="F46" i="22"/>
  <c r="F50" i="22"/>
  <c r="F48" i="22"/>
  <c r="G42" i="22"/>
  <c r="G36" i="22"/>
  <c r="G49" i="22"/>
  <c r="G47" i="22"/>
  <c r="G38" i="22"/>
  <c r="F51" i="22"/>
  <c r="F49" i="22"/>
  <c r="F47" i="22"/>
  <c r="G46" i="22"/>
  <c r="E13" i="9" s="1"/>
  <c r="G48" i="22"/>
  <c r="G43" i="22"/>
  <c r="G51" i="22"/>
  <c r="G50" i="22"/>
  <c r="H18" i="47"/>
  <c r="H14" i="47"/>
  <c r="G25" i="22"/>
  <c r="I38" i="51" s="1"/>
  <c r="G23" i="22"/>
  <c r="I36" i="51" s="1"/>
  <c r="H16" i="47"/>
  <c r="G21" i="22"/>
  <c r="I34" i="51" s="1"/>
  <c r="H15" i="47"/>
  <c r="H21" i="47"/>
  <c r="H17" i="47"/>
  <c r="H13" i="47"/>
  <c r="H20" i="47"/>
  <c r="H12" i="47"/>
  <c r="H19" i="47"/>
  <c r="H11" i="47"/>
  <c r="G19" i="22"/>
  <c r="I32" i="51" s="1"/>
  <c r="G30" i="22"/>
  <c r="I40" i="51" s="1"/>
  <c r="G12" i="22"/>
  <c r="G28" i="22"/>
  <c r="G27" i="22"/>
  <c r="G26" i="22"/>
  <c r="F28" i="45"/>
  <c r="F27" i="45"/>
  <c r="F25" i="45"/>
  <c r="F24" i="45"/>
  <c r="F22" i="45"/>
  <c r="F19" i="45"/>
  <c r="F5" i="45"/>
  <c r="F7" i="45"/>
  <c r="F9" i="45"/>
  <c r="F11" i="45"/>
  <c r="F13" i="45"/>
  <c r="F15" i="45"/>
  <c r="E18" i="45"/>
  <c r="E28" i="45"/>
  <c r="E27" i="45"/>
  <c r="E25" i="45"/>
  <c r="E24" i="45"/>
  <c r="E22" i="45"/>
  <c r="E19" i="45"/>
  <c r="E3" i="45"/>
  <c r="E4" i="45"/>
  <c r="E6" i="45"/>
  <c r="E8" i="45"/>
  <c r="E10" i="45"/>
  <c r="E12" i="45"/>
  <c r="E14" i="45"/>
  <c r="E16" i="45"/>
  <c r="F18" i="45"/>
  <c r="E13" i="45"/>
  <c r="F29" i="45"/>
  <c r="F26" i="45"/>
  <c r="F23" i="45"/>
  <c r="F21" i="45"/>
  <c r="F20" i="45"/>
  <c r="F3" i="45"/>
  <c r="F4" i="45"/>
  <c r="F6" i="45"/>
  <c r="F8" i="45"/>
  <c r="F10" i="45"/>
  <c r="F12" i="45"/>
  <c r="F14" i="45"/>
  <c r="F16" i="45"/>
  <c r="E17" i="45"/>
  <c r="E29" i="45"/>
  <c r="E26" i="45"/>
  <c r="E23" i="45"/>
  <c r="E21" i="45"/>
  <c r="E20" i="45"/>
  <c r="E5" i="45"/>
  <c r="E7" i="45"/>
  <c r="E9" i="45"/>
  <c r="E11" i="45"/>
  <c r="E15" i="45"/>
  <c r="F17" i="45"/>
  <c r="G26" i="39"/>
  <c r="G22" i="39"/>
  <c r="G15" i="39"/>
  <c r="G11" i="39"/>
  <c r="G7" i="39"/>
  <c r="G28" i="41"/>
  <c r="G24" i="41"/>
  <c r="G20" i="41"/>
  <c r="G13" i="41"/>
  <c r="G9" i="41"/>
  <c r="G5" i="41"/>
  <c r="G26" i="40"/>
  <c r="G22" i="40"/>
  <c r="G29" i="39"/>
  <c r="G25" i="39"/>
  <c r="G21" i="39"/>
  <c r="G14" i="39"/>
  <c r="G10" i="39"/>
  <c r="G6" i="39"/>
  <c r="G27" i="41"/>
  <c r="G23" i="41"/>
  <c r="G19" i="41"/>
  <c r="G12" i="41"/>
  <c r="G8" i="41"/>
  <c r="G29" i="40"/>
  <c r="G25" i="40"/>
  <c r="G21" i="40"/>
  <c r="G28" i="39"/>
  <c r="G24" i="39"/>
  <c r="G20" i="39"/>
  <c r="G13" i="39"/>
  <c r="G9" i="39"/>
  <c r="G5" i="39"/>
  <c r="G26" i="41"/>
  <c r="G22" i="41"/>
  <c r="G15" i="41"/>
  <c r="G11" i="41"/>
  <c r="G7" i="41"/>
  <c r="G28" i="40"/>
  <c r="G24" i="40"/>
  <c r="G20" i="40"/>
  <c r="G27" i="39"/>
  <c r="G23" i="39"/>
  <c r="G19" i="39"/>
  <c r="G12" i="39"/>
  <c r="G8" i="39"/>
  <c r="G29" i="41"/>
  <c r="G25" i="41"/>
  <c r="G21" i="41"/>
  <c r="G14" i="41"/>
  <c r="G10" i="41"/>
  <c r="G6" i="41"/>
  <c r="G27" i="40"/>
  <c r="G23" i="40"/>
  <c r="G19" i="40"/>
  <c r="E6" i="16"/>
  <c r="F6" i="16"/>
  <c r="G54" i="22"/>
  <c r="G6" i="22"/>
  <c r="G7" i="22"/>
  <c r="G55" i="22"/>
  <c r="G4" i="22"/>
  <c r="E4" i="6"/>
  <c r="I4" i="6"/>
  <c r="F4" i="6"/>
  <c r="G4" i="6"/>
  <c r="D4" i="6"/>
  <c r="H4" i="6"/>
  <c r="E4" i="16"/>
  <c r="F8" i="16"/>
  <c r="F5" i="16"/>
  <c r="E8" i="16"/>
  <c r="E5" i="16"/>
  <c r="F4" i="16"/>
  <c r="E19" i="36"/>
  <c r="D41" i="36"/>
  <c r="F65" i="22"/>
  <c r="F59" i="22"/>
  <c r="F58" i="22"/>
  <c r="D32" i="36"/>
  <c r="D31" i="36"/>
  <c r="E11" i="36"/>
  <c r="E26" i="36"/>
  <c r="F64" i="22"/>
  <c r="I45" i="40" s="1"/>
  <c r="G29" i="22"/>
  <c r="I39" i="51" s="1"/>
  <c r="F54" i="22"/>
  <c r="C4" i="12"/>
  <c r="E7" i="9"/>
  <c r="E8" i="9"/>
  <c r="E18" i="36"/>
  <c r="E17" i="36"/>
  <c r="E16" i="36"/>
  <c r="I36" i="41" s="1"/>
  <c r="E53" i="37"/>
  <c r="D53" i="37"/>
  <c r="C53" i="37"/>
  <c r="F53" i="37"/>
  <c r="F62" i="22"/>
  <c r="E54" i="9"/>
  <c r="F19" i="37"/>
  <c r="F18" i="37"/>
  <c r="D19" i="37"/>
  <c r="D18" i="37"/>
  <c r="C19" i="37"/>
  <c r="C18" i="37"/>
  <c r="E19" i="37"/>
  <c r="E18" i="37"/>
  <c r="D40" i="36"/>
  <c r="D35" i="36"/>
  <c r="G40" i="50" s="1"/>
  <c r="D29" i="36"/>
  <c r="D34" i="36"/>
  <c r="D33" i="36"/>
  <c r="D30" i="36"/>
  <c r="D39" i="36"/>
  <c r="D38" i="36"/>
  <c r="D37" i="36"/>
  <c r="E6" i="6"/>
  <c r="F6" i="6"/>
  <c r="E23" i="36"/>
  <c r="F63" i="22"/>
  <c r="I44" i="40" s="1"/>
  <c r="E21" i="36"/>
  <c r="F56" i="22"/>
  <c r="E25" i="36"/>
  <c r="F57" i="22"/>
  <c r="E22" i="36"/>
  <c r="F60" i="22"/>
  <c r="F55" i="22"/>
  <c r="E24" i="36"/>
  <c r="F61" i="22"/>
  <c r="G62" i="12"/>
  <c r="G58" i="6"/>
  <c r="F57" i="6"/>
  <c r="H55" i="6"/>
  <c r="G61" i="12"/>
  <c r="F58" i="6"/>
  <c r="I57" i="6"/>
  <c r="E57" i="6"/>
  <c r="H56" i="6"/>
  <c r="D56" i="6"/>
  <c r="G55" i="6"/>
  <c r="C55" i="6"/>
  <c r="H58" i="6"/>
  <c r="D58" i="6"/>
  <c r="C57" i="6"/>
  <c r="I55" i="6"/>
  <c r="C58" i="6"/>
  <c r="E56" i="6"/>
  <c r="I58" i="6"/>
  <c r="E58" i="6"/>
  <c r="H57" i="6"/>
  <c r="D57" i="6"/>
  <c r="G56" i="6"/>
  <c r="C56" i="6"/>
  <c r="F55" i="6"/>
  <c r="G63" i="12"/>
  <c r="G57" i="6"/>
  <c r="F56" i="6"/>
  <c r="E55" i="6"/>
  <c r="I56" i="6"/>
  <c r="D55" i="6"/>
  <c r="E11" i="37"/>
  <c r="C11" i="37"/>
  <c r="D11" i="37"/>
  <c r="F11" i="37"/>
  <c r="I29" i="41"/>
  <c r="I25" i="41"/>
  <c r="I21" i="41"/>
  <c r="F19" i="41"/>
  <c r="D19" i="41"/>
  <c r="B19" i="41"/>
  <c r="I14" i="41"/>
  <c r="I10" i="41"/>
  <c r="I6" i="41"/>
  <c r="I20" i="41"/>
  <c r="I9" i="41"/>
  <c r="I26" i="41"/>
  <c r="I22" i="41"/>
  <c r="I15" i="41"/>
  <c r="I11" i="41"/>
  <c r="I7" i="41"/>
  <c r="F5" i="41"/>
  <c r="D5" i="41"/>
  <c r="B5" i="41"/>
  <c r="I24" i="41"/>
  <c r="I27" i="41"/>
  <c r="I23" i="41"/>
  <c r="I19" i="41"/>
  <c r="E19" i="41"/>
  <c r="C19" i="41"/>
  <c r="I12" i="41"/>
  <c r="I8" i="41"/>
  <c r="I28" i="41"/>
  <c r="I13" i="41"/>
  <c r="I5" i="41"/>
  <c r="E5" i="41"/>
  <c r="C5" i="41"/>
  <c r="I29" i="40"/>
  <c r="E29" i="40"/>
  <c r="C29" i="40"/>
  <c r="F27" i="40"/>
  <c r="D27" i="40"/>
  <c r="B27" i="40"/>
  <c r="I25" i="40"/>
  <c r="E25" i="40"/>
  <c r="C25" i="40"/>
  <c r="F23" i="40"/>
  <c r="D23" i="40"/>
  <c r="B23" i="40"/>
  <c r="I21" i="40"/>
  <c r="E21" i="40"/>
  <c r="C21" i="40"/>
  <c r="F19" i="40"/>
  <c r="D19" i="40"/>
  <c r="B19" i="40"/>
  <c r="F28" i="40"/>
  <c r="D28" i="40"/>
  <c r="B28" i="40"/>
  <c r="I26" i="40"/>
  <c r="E26" i="40"/>
  <c r="C26" i="40"/>
  <c r="F24" i="40"/>
  <c r="D24" i="40"/>
  <c r="B24" i="40"/>
  <c r="I22" i="40"/>
  <c r="E22" i="40"/>
  <c r="C22" i="40"/>
  <c r="F20" i="40"/>
  <c r="D20" i="40"/>
  <c r="B20" i="40"/>
  <c r="F29" i="40"/>
  <c r="D29" i="40"/>
  <c r="B29" i="40"/>
  <c r="I27" i="40"/>
  <c r="E27" i="40"/>
  <c r="C27" i="40"/>
  <c r="F25" i="40"/>
  <c r="D25" i="40"/>
  <c r="B25" i="40"/>
  <c r="I23" i="40"/>
  <c r="E23" i="40"/>
  <c r="C23" i="40"/>
  <c r="F21" i="40"/>
  <c r="D21" i="40"/>
  <c r="B21" i="40"/>
  <c r="I19" i="40"/>
  <c r="E19" i="40"/>
  <c r="C19" i="40"/>
  <c r="F28" i="39"/>
  <c r="D28" i="39"/>
  <c r="B28" i="39"/>
  <c r="I26" i="39"/>
  <c r="E26" i="39"/>
  <c r="C26" i="39"/>
  <c r="F24" i="39"/>
  <c r="D24" i="39"/>
  <c r="B24" i="39"/>
  <c r="I22" i="39"/>
  <c r="E22" i="39"/>
  <c r="C22" i="39"/>
  <c r="I28" i="40"/>
  <c r="E28" i="40"/>
  <c r="C28" i="40"/>
  <c r="F26" i="40"/>
  <c r="D26" i="40"/>
  <c r="B26" i="40"/>
  <c r="I24" i="40"/>
  <c r="E24" i="40"/>
  <c r="C24" i="40"/>
  <c r="F22" i="40"/>
  <c r="D22" i="40"/>
  <c r="B22" i="40"/>
  <c r="I20" i="40"/>
  <c r="E20" i="40"/>
  <c r="C20" i="40"/>
  <c r="F29" i="39"/>
  <c r="D29" i="39"/>
  <c r="B29" i="39"/>
  <c r="I27" i="39"/>
  <c r="E27" i="39"/>
  <c r="C27" i="39"/>
  <c r="F25" i="39"/>
  <c r="D25" i="39"/>
  <c r="B25" i="39"/>
  <c r="I23" i="39"/>
  <c r="E23" i="39"/>
  <c r="C23" i="39"/>
  <c r="F21" i="39"/>
  <c r="E29" i="39"/>
  <c r="D27" i="39"/>
  <c r="I25" i="39"/>
  <c r="F23" i="39"/>
  <c r="I19" i="39"/>
  <c r="I6" i="39"/>
  <c r="E6" i="39"/>
  <c r="E28" i="39"/>
  <c r="D26" i="39"/>
  <c r="I24" i="39"/>
  <c r="C24" i="39"/>
  <c r="F22" i="39"/>
  <c r="B22" i="39"/>
  <c r="D21" i="39"/>
  <c r="I20" i="39"/>
  <c r="E20" i="39"/>
  <c r="C20" i="39"/>
  <c r="I13" i="39"/>
  <c r="I9" i="39"/>
  <c r="I5" i="39"/>
  <c r="F15" i="39"/>
  <c r="F11" i="39"/>
  <c r="F7" i="39"/>
  <c r="E13" i="39"/>
  <c r="E9" i="39"/>
  <c r="E5" i="39"/>
  <c r="D15" i="39"/>
  <c r="D11" i="39"/>
  <c r="D7" i="39"/>
  <c r="C13" i="39"/>
  <c r="C9" i="39"/>
  <c r="C5" i="39"/>
  <c r="B15" i="39"/>
  <c r="B11" i="39"/>
  <c r="B7" i="39"/>
  <c r="B23" i="39"/>
  <c r="I14" i="39"/>
  <c r="F8" i="39"/>
  <c r="E14" i="39"/>
  <c r="D8" i="39"/>
  <c r="B8" i="39"/>
  <c r="I29" i="39"/>
  <c r="C29" i="39"/>
  <c r="F27" i="39"/>
  <c r="B27" i="39"/>
  <c r="E25" i="39"/>
  <c r="D23" i="39"/>
  <c r="I21" i="39"/>
  <c r="F19" i="39"/>
  <c r="D19" i="39"/>
  <c r="B19" i="39"/>
  <c r="I12" i="39"/>
  <c r="I8" i="39"/>
  <c r="F14" i="39"/>
  <c r="F10" i="39"/>
  <c r="F6" i="39"/>
  <c r="E12" i="39"/>
  <c r="E8" i="39"/>
  <c r="D14" i="39"/>
  <c r="D10" i="39"/>
  <c r="D6" i="39"/>
  <c r="C12" i="39"/>
  <c r="C8" i="39"/>
  <c r="B14" i="39"/>
  <c r="B10" i="39"/>
  <c r="B6" i="39"/>
  <c r="B9" i="39"/>
  <c r="B5" i="39"/>
  <c r="B21" i="39"/>
  <c r="C19" i="39"/>
  <c r="F12" i="39"/>
  <c r="E10" i="39"/>
  <c r="C14" i="39"/>
  <c r="C6" i="39"/>
  <c r="B12" i="39"/>
  <c r="I28" i="39"/>
  <c r="C28" i="39"/>
  <c r="F26" i="39"/>
  <c r="B26" i="39"/>
  <c r="E24" i="39"/>
  <c r="D22" i="39"/>
  <c r="C21" i="39"/>
  <c r="F20" i="39"/>
  <c r="D20" i="39"/>
  <c r="B20" i="39"/>
  <c r="I15" i="39"/>
  <c r="I11" i="39"/>
  <c r="I7" i="39"/>
  <c r="F13" i="39"/>
  <c r="F9" i="39"/>
  <c r="F5" i="39"/>
  <c r="E15" i="39"/>
  <c r="E11" i="39"/>
  <c r="E7" i="39"/>
  <c r="D13" i="39"/>
  <c r="D9" i="39"/>
  <c r="D5" i="39"/>
  <c r="C15" i="39"/>
  <c r="C11" i="39"/>
  <c r="C7" i="39"/>
  <c r="B13" i="39"/>
  <c r="C25" i="39"/>
  <c r="E21" i="39"/>
  <c r="E19" i="39"/>
  <c r="I10" i="39"/>
  <c r="D12" i="39"/>
  <c r="C10" i="39"/>
  <c r="E46" i="9"/>
  <c r="E60" i="9"/>
  <c r="E56" i="9"/>
  <c r="E52" i="9"/>
  <c r="E58" i="9"/>
  <c r="E61" i="9"/>
  <c r="E53" i="9"/>
  <c r="E59" i="9"/>
  <c r="E51" i="9"/>
  <c r="E57" i="9"/>
  <c r="G51" i="37"/>
  <c r="G48" i="37"/>
  <c r="G33" i="37"/>
  <c r="G29" i="37"/>
  <c r="E59" i="37"/>
  <c r="E58" i="37"/>
  <c r="E57" i="37"/>
  <c r="E56" i="37"/>
  <c r="E55" i="37"/>
  <c r="E54" i="37"/>
  <c r="E52" i="37"/>
  <c r="E51" i="37"/>
  <c r="E50" i="37"/>
  <c r="E4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E36" i="37"/>
  <c r="E35" i="37"/>
  <c r="E34" i="37"/>
  <c r="E33" i="37"/>
  <c r="E32" i="37"/>
  <c r="E31" i="37"/>
  <c r="E30" i="37"/>
  <c r="E29" i="37"/>
  <c r="E28" i="37"/>
  <c r="E25" i="37"/>
  <c r="E24" i="37"/>
  <c r="E23" i="37"/>
  <c r="E22" i="37"/>
  <c r="E21" i="37"/>
  <c r="E20" i="37"/>
  <c r="E17" i="37"/>
  <c r="E16" i="37"/>
  <c r="E15" i="37"/>
  <c r="E14" i="37"/>
  <c r="E13" i="37"/>
  <c r="E12" i="37"/>
  <c r="E10" i="37"/>
  <c r="E9" i="37"/>
  <c r="E8" i="37"/>
  <c r="E7" i="37"/>
  <c r="G4" i="37"/>
  <c r="C4" i="37"/>
  <c r="E3" i="37"/>
  <c r="G6" i="6"/>
  <c r="G5" i="6"/>
  <c r="E35" i="6"/>
  <c r="E32" i="6"/>
  <c r="G31" i="6"/>
  <c r="I33" i="6"/>
  <c r="E33" i="6"/>
  <c r="I38" i="6"/>
  <c r="E38" i="6"/>
  <c r="I34" i="6"/>
  <c r="E34" i="6"/>
  <c r="G49" i="37"/>
  <c r="H32" i="37"/>
  <c r="H31" i="37"/>
  <c r="H28" i="37"/>
  <c r="D59" i="37"/>
  <c r="D58" i="37"/>
  <c r="D57" i="37"/>
  <c r="D56" i="37"/>
  <c r="D55" i="37"/>
  <c r="D54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5" i="37"/>
  <c r="D24" i="37"/>
  <c r="D23" i="37"/>
  <c r="D22" i="37"/>
  <c r="D21" i="37"/>
  <c r="D20" i="37"/>
  <c r="D17" i="37"/>
  <c r="D16" i="37"/>
  <c r="D15" i="37"/>
  <c r="D14" i="37"/>
  <c r="D13" i="37"/>
  <c r="D12" i="37"/>
  <c r="D10" i="37"/>
  <c r="D9" i="37"/>
  <c r="D8" i="37"/>
  <c r="D7" i="37"/>
  <c r="F4" i="37"/>
  <c r="H3" i="37"/>
  <c r="D3" i="37"/>
  <c r="D6" i="6"/>
  <c r="F5" i="6"/>
  <c r="D35" i="6"/>
  <c r="D32" i="6"/>
  <c r="F31" i="6"/>
  <c r="H33" i="6"/>
  <c r="D33" i="6"/>
  <c r="F37" i="6"/>
  <c r="H38" i="6"/>
  <c r="D38" i="6"/>
  <c r="F36" i="6"/>
  <c r="H34" i="6"/>
  <c r="D34" i="6"/>
  <c r="F30" i="6"/>
  <c r="H29" i="6"/>
  <c r="D29" i="6"/>
  <c r="F28" i="6"/>
  <c r="F27" i="6"/>
  <c r="H26" i="6"/>
  <c r="D26" i="6"/>
  <c r="D25" i="6"/>
  <c r="D24" i="6"/>
  <c r="F23" i="6"/>
  <c r="H22" i="6"/>
  <c r="D22" i="6"/>
  <c r="D21" i="6"/>
  <c r="D20" i="6"/>
  <c r="D19" i="6"/>
  <c r="F18" i="6"/>
  <c r="G52" i="37"/>
  <c r="G32" i="37"/>
  <c r="G31" i="37"/>
  <c r="G28" i="37"/>
  <c r="C59" i="37"/>
  <c r="C58" i="37"/>
  <c r="C57" i="37"/>
  <c r="C56" i="37"/>
  <c r="C55" i="37"/>
  <c r="C54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C40" i="37"/>
  <c r="C39" i="37"/>
  <c r="C38" i="37"/>
  <c r="C37" i="37"/>
  <c r="C36" i="37"/>
  <c r="C35" i="37"/>
  <c r="C34" i="37"/>
  <c r="C33" i="37"/>
  <c r="C32" i="37"/>
  <c r="C31" i="37"/>
  <c r="C30" i="37"/>
  <c r="C29" i="37"/>
  <c r="C28" i="37"/>
  <c r="C25" i="37"/>
  <c r="C24" i="37"/>
  <c r="C23" i="37"/>
  <c r="C22" i="37"/>
  <c r="C21" i="37"/>
  <c r="C20" i="37"/>
  <c r="C17" i="37"/>
  <c r="C16" i="37"/>
  <c r="C15" i="37"/>
  <c r="C14" i="37"/>
  <c r="C13" i="37"/>
  <c r="C12" i="37"/>
  <c r="C10" i="37"/>
  <c r="C9" i="37"/>
  <c r="C8" i="37"/>
  <c r="C7" i="37"/>
  <c r="E4" i="37"/>
  <c r="G3" i="37"/>
  <c r="C3" i="37"/>
  <c r="I5" i="6"/>
  <c r="E5" i="6"/>
  <c r="G35" i="6"/>
  <c r="G32" i="6"/>
  <c r="I31" i="6"/>
  <c r="E31" i="6"/>
  <c r="G33" i="6"/>
  <c r="I37" i="6"/>
  <c r="E37" i="6"/>
  <c r="G38" i="6"/>
  <c r="I36" i="6"/>
  <c r="E36" i="6"/>
  <c r="G34" i="6"/>
  <c r="I30" i="6"/>
  <c r="E30" i="6"/>
  <c r="G29" i="6"/>
  <c r="I28" i="6"/>
  <c r="E28" i="6"/>
  <c r="E27" i="6"/>
  <c r="G26" i="6"/>
  <c r="G25" i="6"/>
  <c r="G24" i="6"/>
  <c r="I23" i="6"/>
  <c r="E23" i="6"/>
  <c r="G22" i="6"/>
  <c r="G21" i="6"/>
  <c r="G20" i="6"/>
  <c r="G19" i="6"/>
  <c r="I18" i="6"/>
  <c r="E18" i="6"/>
  <c r="G17" i="6"/>
  <c r="G50" i="37"/>
  <c r="H33" i="37"/>
  <c r="H29" i="37"/>
  <c r="F59" i="37"/>
  <c r="F58" i="37"/>
  <c r="F57" i="37"/>
  <c r="F56" i="37"/>
  <c r="F55" i="37"/>
  <c r="F54" i="37"/>
  <c r="F52" i="37"/>
  <c r="F51" i="37"/>
  <c r="F50" i="37"/>
  <c r="F49" i="37"/>
  <c r="F48" i="37"/>
  <c r="F47" i="37"/>
  <c r="F46" i="37"/>
  <c r="F45" i="37"/>
  <c r="F44" i="37"/>
  <c r="F43" i="37"/>
  <c r="F42" i="37"/>
  <c r="F41" i="37"/>
  <c r="F40" i="37"/>
  <c r="F39" i="37"/>
  <c r="F38" i="37"/>
  <c r="F37" i="37"/>
  <c r="F36" i="37"/>
  <c r="F35" i="37"/>
  <c r="F34" i="37"/>
  <c r="F33" i="37"/>
  <c r="F32" i="37"/>
  <c r="F31" i="37"/>
  <c r="F30" i="37"/>
  <c r="F29" i="37"/>
  <c r="F28" i="37"/>
  <c r="F25" i="37"/>
  <c r="F24" i="37"/>
  <c r="F23" i="37"/>
  <c r="F22" i="37"/>
  <c r="F21" i="37"/>
  <c r="F20" i="37"/>
  <c r="F17" i="37"/>
  <c r="F16" i="37"/>
  <c r="F15" i="37"/>
  <c r="F14" i="37"/>
  <c r="F13" i="37"/>
  <c r="F12" i="37"/>
  <c r="F10" i="37"/>
  <c r="F9" i="37"/>
  <c r="F8" i="37"/>
  <c r="F7" i="37"/>
  <c r="H4" i="37"/>
  <c r="D4" i="37"/>
  <c r="F3" i="37"/>
  <c r="H6" i="6"/>
  <c r="H5" i="6"/>
  <c r="D5" i="6"/>
  <c r="F35" i="6"/>
  <c r="F32" i="6"/>
  <c r="H31" i="6"/>
  <c r="D31" i="6"/>
  <c r="F33" i="6"/>
  <c r="H37" i="6"/>
  <c r="F38" i="6"/>
  <c r="H36" i="6"/>
  <c r="F34" i="6"/>
  <c r="H30" i="6"/>
  <c r="D30" i="6"/>
  <c r="F29" i="6"/>
  <c r="H28" i="6"/>
  <c r="D28" i="6"/>
  <c r="D27" i="6"/>
  <c r="F26" i="6"/>
  <c r="F25" i="6"/>
  <c r="F24" i="6"/>
  <c r="H23" i="6"/>
  <c r="G30" i="6"/>
  <c r="G27" i="6"/>
  <c r="E24" i="6"/>
  <c r="F22" i="6"/>
  <c r="F20" i="6"/>
  <c r="H18" i="6"/>
  <c r="H17" i="6"/>
  <c r="G14" i="6"/>
  <c r="G45" i="6"/>
  <c r="E42" i="6"/>
  <c r="E51" i="6"/>
  <c r="I29" i="6"/>
  <c r="I26" i="6"/>
  <c r="G23" i="6"/>
  <c r="E22" i="6"/>
  <c r="E20" i="6"/>
  <c r="G18" i="6"/>
  <c r="F17" i="6"/>
  <c r="F16" i="6"/>
  <c r="H15" i="6"/>
  <c r="D15" i="6"/>
  <c r="F14" i="6"/>
  <c r="H13" i="6"/>
  <c r="D13" i="6"/>
  <c r="H43" i="6"/>
  <c r="F45" i="6"/>
  <c r="F44" i="6"/>
  <c r="F43" i="6"/>
  <c r="H42" i="6"/>
  <c r="D42" i="6"/>
  <c r="F41" i="6"/>
  <c r="E49" i="6"/>
  <c r="G50" i="6"/>
  <c r="F51" i="6"/>
  <c r="E52" i="6"/>
  <c r="D49" i="6"/>
  <c r="F48" i="6"/>
  <c r="E15" i="6"/>
  <c r="I43" i="6"/>
  <c r="I42" i="6"/>
  <c r="G49" i="6"/>
  <c r="G48" i="6"/>
  <c r="E29" i="6"/>
  <c r="E26" i="6"/>
  <c r="D23" i="6"/>
  <c r="F21" i="6"/>
  <c r="F19" i="6"/>
  <c r="D18" i="6"/>
  <c r="E17" i="6"/>
  <c r="E16" i="6"/>
  <c r="G15" i="6"/>
  <c r="I14" i="6"/>
  <c r="E14" i="6"/>
  <c r="G13" i="6"/>
  <c r="I45" i="6"/>
  <c r="I44" i="6"/>
  <c r="E45" i="6"/>
  <c r="E44" i="6"/>
  <c r="E43" i="6"/>
  <c r="G42" i="6"/>
  <c r="I41" i="6"/>
  <c r="E41" i="6"/>
  <c r="I49" i="6"/>
  <c r="G51" i="6"/>
  <c r="F50" i="6"/>
  <c r="D52" i="6"/>
  <c r="I48" i="6"/>
  <c r="E48" i="6"/>
  <c r="I15" i="6"/>
  <c r="I13" i="6"/>
  <c r="G44" i="6"/>
  <c r="G41" i="6"/>
  <c r="F52" i="6"/>
  <c r="G28" i="6"/>
  <c r="E25" i="6"/>
  <c r="I22" i="6"/>
  <c r="E21" i="6"/>
  <c r="E19" i="6"/>
  <c r="I17" i="6"/>
  <c r="D17" i="6"/>
  <c r="D16" i="6"/>
  <c r="F15" i="6"/>
  <c r="H14" i="6"/>
  <c r="D14" i="6"/>
  <c r="F13" i="6"/>
  <c r="H45" i="6"/>
  <c r="H44" i="6"/>
  <c r="D45" i="6"/>
  <c r="D44" i="6"/>
  <c r="D43" i="6"/>
  <c r="F42" i="6"/>
  <c r="H41" i="6"/>
  <c r="D41" i="6"/>
  <c r="H49" i="6"/>
  <c r="G52" i="6"/>
  <c r="E50" i="6"/>
  <c r="D51" i="6"/>
  <c r="H48" i="6"/>
  <c r="D48" i="6"/>
  <c r="G16" i="6"/>
  <c r="E13" i="6"/>
  <c r="G43" i="6"/>
  <c r="F49" i="6"/>
  <c r="D50" i="6"/>
  <c r="E47" i="9"/>
  <c r="E29" i="9"/>
  <c r="I35" i="41" s="1"/>
  <c r="E48" i="9"/>
  <c r="E28" i="9"/>
  <c r="I34" i="41" s="1"/>
  <c r="H62" i="6"/>
  <c r="E49" i="9"/>
  <c r="E27" i="9"/>
  <c r="I33" i="41" s="1"/>
  <c r="E50" i="9"/>
  <c r="E6" i="9"/>
  <c r="H61" i="6"/>
  <c r="E53" i="36"/>
  <c r="E10" i="36"/>
  <c r="E49" i="36"/>
  <c r="E51" i="36"/>
  <c r="E4" i="36"/>
  <c r="E12" i="36"/>
  <c r="G32" i="22"/>
  <c r="E50" i="36"/>
  <c r="E7" i="36"/>
  <c r="E13" i="36"/>
  <c r="E47" i="36"/>
  <c r="G31" i="22"/>
  <c r="E9" i="36"/>
  <c r="E48" i="36"/>
  <c r="G22" i="22"/>
  <c r="I35" i="51" s="1"/>
  <c r="G24" i="22"/>
  <c r="I37" i="51" s="1"/>
  <c r="E30" i="9"/>
  <c r="E26" i="9"/>
  <c r="E25" i="9"/>
  <c r="E24" i="9"/>
  <c r="E21" i="9"/>
  <c r="E20" i="9"/>
  <c r="E18" i="9"/>
  <c r="E17" i="9"/>
  <c r="E16" i="9"/>
  <c r="E15" i="9"/>
  <c r="E11" i="9"/>
  <c r="E10" i="9"/>
  <c r="E9" i="9"/>
  <c r="E5" i="9"/>
  <c r="E4" i="9"/>
  <c r="G20" i="22"/>
  <c r="I33" i="51" s="1"/>
  <c r="G18" i="22"/>
  <c r="I31" i="51" s="1"/>
  <c r="G3" i="22"/>
  <c r="C6" i="51" l="1"/>
  <c r="B6" i="51"/>
  <c r="F6" i="51"/>
  <c r="E6" i="51"/>
  <c r="D6" i="51"/>
  <c r="D57" i="36"/>
  <c r="G12" i="12"/>
  <c r="D52" i="43"/>
  <c r="D56" i="36"/>
  <c r="G11" i="12"/>
  <c r="D51" i="43"/>
  <c r="I31" i="39"/>
  <c r="I36" i="39"/>
  <c r="I33" i="40"/>
  <c r="I45" i="39"/>
  <c r="I42" i="40"/>
  <c r="I32" i="39"/>
  <c r="I40" i="39"/>
  <c r="I37" i="40"/>
  <c r="I42" i="39"/>
  <c r="I39" i="40"/>
  <c r="I31" i="41"/>
  <c r="I33" i="39"/>
  <c r="I37" i="39"/>
  <c r="I34" i="40"/>
  <c r="I44" i="39"/>
  <c r="I41" i="40"/>
  <c r="I43" i="39"/>
  <c r="I40" i="40"/>
  <c r="I32" i="41"/>
  <c r="I38" i="39"/>
  <c r="I35" i="40"/>
  <c r="I35" i="39"/>
  <c r="I32" i="40"/>
  <c r="I34" i="39"/>
  <c r="I31" i="40"/>
  <c r="I39" i="39"/>
  <c r="I36" i="40"/>
  <c r="I41" i="39"/>
  <c r="I38" i="40"/>
  <c r="C6" i="40"/>
  <c r="F6" i="40"/>
  <c r="B6" i="40"/>
  <c r="E6" i="40"/>
  <c r="D6" i="40"/>
  <c r="C20" i="41"/>
  <c r="E20" i="41"/>
  <c r="D20" i="41"/>
  <c r="F20" i="41"/>
  <c r="B20" i="41"/>
  <c r="C6" i="41"/>
  <c r="E6" i="41"/>
  <c r="F6" i="41"/>
  <c r="B6" i="41"/>
  <c r="D6" i="41"/>
  <c r="F7" i="51" l="1"/>
  <c r="E7" i="51"/>
  <c r="D7" i="51"/>
  <c r="C7" i="51"/>
  <c r="B7" i="51"/>
  <c r="F7" i="40"/>
  <c r="B7" i="40"/>
  <c r="E7" i="40"/>
  <c r="D7" i="40"/>
  <c r="C7" i="40"/>
  <c r="F21" i="41"/>
  <c r="B21" i="41"/>
  <c r="D21" i="41"/>
  <c r="C21" i="41"/>
  <c r="E21" i="41"/>
  <c r="F7" i="41"/>
  <c r="B7" i="41"/>
  <c r="E7" i="41"/>
  <c r="D7" i="41"/>
  <c r="C7" i="41"/>
  <c r="F8" i="51" l="1"/>
  <c r="E8" i="51"/>
  <c r="D8" i="51"/>
  <c r="C8" i="51"/>
  <c r="B8" i="51"/>
  <c r="E8" i="40"/>
  <c r="D8" i="40"/>
  <c r="C8" i="40"/>
  <c r="F8" i="40"/>
  <c r="B8" i="40"/>
  <c r="E22" i="41"/>
  <c r="C22" i="41"/>
  <c r="F22" i="41"/>
  <c r="B22" i="41"/>
  <c r="D22" i="41"/>
  <c r="E8" i="41"/>
  <c r="D8" i="41"/>
  <c r="C8" i="41"/>
  <c r="F8" i="41"/>
  <c r="B8" i="41"/>
  <c r="D9" i="51" l="1"/>
  <c r="C9" i="51"/>
  <c r="B9" i="51"/>
  <c r="F9" i="51"/>
  <c r="E9" i="51"/>
  <c r="D9" i="40"/>
  <c r="C9" i="40"/>
  <c r="F9" i="40"/>
  <c r="B9" i="40"/>
  <c r="E9" i="40"/>
  <c r="D23" i="41"/>
  <c r="F23" i="41"/>
  <c r="B23" i="41"/>
  <c r="E23" i="41"/>
  <c r="C23" i="41"/>
  <c r="D9" i="41"/>
  <c r="C9" i="41"/>
  <c r="F9" i="41"/>
  <c r="B9" i="41"/>
  <c r="E9" i="41"/>
  <c r="F10" i="51" l="1"/>
  <c r="E10" i="51"/>
  <c r="D10" i="51"/>
  <c r="C10" i="51"/>
  <c r="B10" i="51"/>
  <c r="C10" i="40"/>
  <c r="F10" i="40"/>
  <c r="B10" i="40"/>
  <c r="E10" i="40"/>
  <c r="D10" i="40"/>
  <c r="C24" i="41"/>
  <c r="E24" i="41"/>
  <c r="D24" i="41"/>
  <c r="F24" i="41"/>
  <c r="B24" i="41"/>
  <c r="C10" i="41"/>
  <c r="F10" i="41"/>
  <c r="B10" i="41"/>
  <c r="E10" i="41"/>
  <c r="D10" i="41"/>
  <c r="B11" i="51" l="1"/>
  <c r="F11" i="51"/>
  <c r="E11" i="51"/>
  <c r="D11" i="51"/>
  <c r="C11" i="51"/>
  <c r="F11" i="40"/>
  <c r="B11" i="40"/>
  <c r="E11" i="40"/>
  <c r="D11" i="40"/>
  <c r="C11" i="40"/>
  <c r="F25" i="41"/>
  <c r="B25" i="41"/>
  <c r="D25" i="41"/>
  <c r="C25" i="41"/>
  <c r="E25" i="41"/>
  <c r="F11" i="41"/>
  <c r="B11" i="41"/>
  <c r="E11" i="41"/>
  <c r="D11" i="41"/>
  <c r="C11" i="41"/>
  <c r="E12" i="51" l="1"/>
  <c r="D12" i="51"/>
  <c r="C12" i="51"/>
  <c r="B12" i="51"/>
  <c r="F12" i="51"/>
  <c r="E12" i="40"/>
  <c r="D12" i="40"/>
  <c r="C12" i="40"/>
  <c r="F12" i="40"/>
  <c r="B12" i="40"/>
  <c r="E26" i="41"/>
  <c r="C26" i="41"/>
  <c r="F26" i="41"/>
  <c r="B26" i="41"/>
  <c r="D26" i="41"/>
  <c r="E12" i="41"/>
  <c r="D12" i="41"/>
  <c r="C12" i="41"/>
  <c r="F12" i="41"/>
  <c r="B12" i="41"/>
  <c r="F13" i="51" l="1"/>
  <c r="E13" i="51"/>
  <c r="D13" i="51"/>
  <c r="C13" i="51"/>
  <c r="B13" i="51"/>
  <c r="D13" i="40"/>
  <c r="C13" i="40"/>
  <c r="F13" i="40"/>
  <c r="B13" i="40"/>
  <c r="E13" i="40"/>
  <c r="D27" i="41"/>
  <c r="F27" i="41"/>
  <c r="B27" i="41"/>
  <c r="E27" i="41"/>
  <c r="C27" i="41"/>
  <c r="D13" i="41"/>
  <c r="C13" i="41"/>
  <c r="F13" i="41"/>
  <c r="B13" i="41"/>
  <c r="E13" i="41"/>
  <c r="C14" i="51" l="1"/>
  <c r="B14" i="51"/>
  <c r="F14" i="51"/>
  <c r="E14" i="51"/>
  <c r="D14" i="51"/>
  <c r="C14" i="40"/>
  <c r="F14" i="40"/>
  <c r="B14" i="40"/>
  <c r="E14" i="40"/>
  <c r="D14" i="40"/>
  <c r="C28" i="41"/>
  <c r="E28" i="41"/>
  <c r="D28" i="41"/>
  <c r="F28" i="41"/>
  <c r="B28" i="41"/>
  <c r="C14" i="41"/>
  <c r="E14" i="41"/>
  <c r="F14" i="41"/>
  <c r="B14" i="41"/>
  <c r="D14" i="41"/>
  <c r="F15" i="51" l="1"/>
  <c r="E15" i="51"/>
  <c r="D15" i="51"/>
  <c r="C15" i="51"/>
  <c r="B15" i="51"/>
  <c r="F15" i="40"/>
  <c r="B15" i="40"/>
  <c r="E15" i="40"/>
  <c r="D15" i="40"/>
  <c r="C15" i="40"/>
  <c r="F29" i="41"/>
  <c r="B29" i="41"/>
  <c r="D29" i="41"/>
  <c r="C29" i="41"/>
  <c r="E29" i="41"/>
  <c r="F15" i="41"/>
  <c r="B15" i="41"/>
  <c r="E15" i="41"/>
  <c r="D15" i="41"/>
  <c r="C15" i="41"/>
</calcChain>
</file>

<file path=xl/sharedStrings.xml><?xml version="1.0" encoding="utf-8"?>
<sst xmlns="http://schemas.openxmlformats.org/spreadsheetml/2006/main" count="2608" uniqueCount="1125">
  <si>
    <t>P052M</t>
  </si>
  <si>
    <t>P056M</t>
  </si>
  <si>
    <t>P055M</t>
  </si>
  <si>
    <t>A102</t>
  </si>
  <si>
    <t>A101</t>
  </si>
  <si>
    <t>PF011</t>
  </si>
  <si>
    <t>PF010</t>
  </si>
  <si>
    <t>PF015</t>
  </si>
  <si>
    <t>PF014</t>
  </si>
  <si>
    <t>PF016</t>
  </si>
  <si>
    <t>BF004</t>
  </si>
  <si>
    <t xml:space="preserve">P064M </t>
  </si>
  <si>
    <t>TAL002</t>
  </si>
  <si>
    <t>TAL003</t>
  </si>
  <si>
    <t>TAL004</t>
  </si>
  <si>
    <t>MARFIM</t>
  </si>
  <si>
    <t>BRANCO</t>
  </si>
  <si>
    <t>MT01</t>
  </si>
  <si>
    <t>MT02</t>
  </si>
  <si>
    <t>MT12</t>
  </si>
  <si>
    <t>MT13</t>
  </si>
  <si>
    <t>MT15</t>
  </si>
  <si>
    <t>MT16</t>
  </si>
  <si>
    <t>MT17</t>
  </si>
  <si>
    <t>MT19</t>
  </si>
  <si>
    <t>MT20</t>
  </si>
  <si>
    <t>MT21</t>
  </si>
  <si>
    <t>MT22</t>
  </si>
  <si>
    <t>MT23</t>
  </si>
  <si>
    <t>MT25</t>
  </si>
  <si>
    <t>SB155</t>
  </si>
  <si>
    <t>COR</t>
  </si>
  <si>
    <t>PF017</t>
  </si>
  <si>
    <t>MS26</t>
  </si>
  <si>
    <t>MS27</t>
  </si>
  <si>
    <t>MS28</t>
  </si>
  <si>
    <t>MS29</t>
  </si>
  <si>
    <t>METRO</t>
  </si>
  <si>
    <t>UNIDADE</t>
  </si>
  <si>
    <t>B150AL</t>
  </si>
  <si>
    <t>B148</t>
  </si>
  <si>
    <t>P088</t>
  </si>
  <si>
    <t>P090</t>
  </si>
  <si>
    <t>A103</t>
  </si>
  <si>
    <t>AP128AL</t>
  </si>
  <si>
    <t>B096</t>
  </si>
  <si>
    <t>P096</t>
  </si>
  <si>
    <t>ARTIGO</t>
  </si>
  <si>
    <t>SL058ALX</t>
  </si>
  <si>
    <t>SL060ALX</t>
  </si>
  <si>
    <t>SL063ALX</t>
  </si>
  <si>
    <t>SL065ALX</t>
  </si>
  <si>
    <t>SL066ALX</t>
  </si>
  <si>
    <t>SL067ALX</t>
  </si>
  <si>
    <t>SL062ALX</t>
  </si>
  <si>
    <t>SL143ALX</t>
  </si>
  <si>
    <t>SL144ALX</t>
  </si>
  <si>
    <t>SL078ALX</t>
  </si>
  <si>
    <t>SL079ALX</t>
  </si>
  <si>
    <t>SB145ALX</t>
  </si>
  <si>
    <t>SB146ALX</t>
  </si>
  <si>
    <t>SB120ALX</t>
  </si>
  <si>
    <t>SB123ALX</t>
  </si>
  <si>
    <t>AC001</t>
  </si>
  <si>
    <t>AC002</t>
  </si>
  <si>
    <t>AC008</t>
  </si>
  <si>
    <t>AC009</t>
  </si>
  <si>
    <t>AC010</t>
  </si>
  <si>
    <t>AC016</t>
  </si>
  <si>
    <t>AC017</t>
  </si>
  <si>
    <t>AC018</t>
  </si>
  <si>
    <t>AC023</t>
  </si>
  <si>
    <t>AC024</t>
  </si>
  <si>
    <t>AC025</t>
  </si>
  <si>
    <t>CORES</t>
  </si>
  <si>
    <t>DOURADO</t>
  </si>
  <si>
    <t>CROMADO</t>
  </si>
  <si>
    <t>OURO VELHO</t>
  </si>
  <si>
    <t>SP001</t>
  </si>
  <si>
    <t>SP002</t>
  </si>
  <si>
    <t>SP003</t>
  </si>
  <si>
    <t>SP004</t>
  </si>
  <si>
    <t>P084</t>
  </si>
  <si>
    <t>SL059ALX</t>
  </si>
  <si>
    <t>SB119ALX</t>
  </si>
  <si>
    <t>MS05</t>
  </si>
  <si>
    <t>MS06</t>
  </si>
  <si>
    <t>AC026</t>
  </si>
  <si>
    <t>F002</t>
  </si>
  <si>
    <t>F003</t>
  </si>
  <si>
    <t>F004</t>
  </si>
  <si>
    <t>F005</t>
  </si>
  <si>
    <t>AP127</t>
  </si>
  <si>
    <t>AÇO ESC.</t>
  </si>
  <si>
    <t>P086</t>
  </si>
  <si>
    <t>APQ25AL</t>
  </si>
  <si>
    <t>AP136AL</t>
  </si>
  <si>
    <t>AC008-2</t>
  </si>
  <si>
    <t>PEÇA</t>
  </si>
  <si>
    <t>MIL</t>
  </si>
  <si>
    <t>SB122ALX</t>
  </si>
  <si>
    <t>P083Q</t>
  </si>
  <si>
    <t>P082Q</t>
  </si>
  <si>
    <t>P102</t>
  </si>
  <si>
    <t>P103</t>
  </si>
  <si>
    <t>P020AL</t>
  </si>
  <si>
    <t>P021AL</t>
  </si>
  <si>
    <t>P028AL</t>
  </si>
  <si>
    <t>P051M</t>
  </si>
  <si>
    <t>APO20AL</t>
  </si>
  <si>
    <t>APL21AL</t>
  </si>
  <si>
    <t>AC028</t>
  </si>
  <si>
    <t>AC029</t>
  </si>
  <si>
    <t>CÓD.</t>
  </si>
  <si>
    <t>DESCRIÇÃO</t>
  </si>
  <si>
    <t>VALOR</t>
  </si>
  <si>
    <t>QUANTIDADE</t>
  </si>
  <si>
    <t>PREÇO</t>
  </si>
  <si>
    <t>*VARÕES: VALOR COBRADO POR METRO (CORTES SOMENTE ATÉ 4,00MTS)</t>
  </si>
  <si>
    <t>2,65/2,70</t>
  </si>
  <si>
    <t>LINHO SELVAGEM</t>
  </si>
  <si>
    <t>VOIL ATLANTA</t>
  </si>
  <si>
    <t>FORRO GABARDINE</t>
  </si>
  <si>
    <t>BLACK-OUT DUPLA FACE</t>
  </si>
  <si>
    <t>* Os Tecidos Amassados podem sofrer alterações na largura e na textura</t>
  </si>
  <si>
    <t>* Os Tecidos que possuem algodão e linho em sua composição poderão sofrer encolhimento se não lavados a seco</t>
  </si>
  <si>
    <t>* Os tecidos podem sofrer diferença de tonalidade de uma remessa para outra</t>
  </si>
  <si>
    <t>PA001</t>
  </si>
  <si>
    <t>PA002</t>
  </si>
  <si>
    <t>SP005</t>
  </si>
  <si>
    <t>SP006</t>
  </si>
  <si>
    <t>LARGURA</t>
  </si>
  <si>
    <t>CODIGO</t>
  </si>
  <si>
    <t>TA</t>
  </si>
  <si>
    <t>SAM</t>
  </si>
  <si>
    <t>SAMD</t>
  </si>
  <si>
    <t>SAMT</t>
  </si>
  <si>
    <t>PA</t>
  </si>
  <si>
    <t>ACL</t>
  </si>
  <si>
    <t>--</t>
  </si>
  <si>
    <t>PAF010</t>
  </si>
  <si>
    <t>BA008</t>
  </si>
  <si>
    <t>BA009</t>
  </si>
  <si>
    <t>FAN</t>
  </si>
  <si>
    <t>PRETO</t>
  </si>
  <si>
    <t>EP001</t>
  </si>
  <si>
    <t>EP002</t>
  </si>
  <si>
    <t>EP003</t>
  </si>
  <si>
    <t>AC003</t>
  </si>
  <si>
    <t>VUD01</t>
  </si>
  <si>
    <t>ARGOLAS</t>
  </si>
  <si>
    <t>ARGOLA METAL 28MM</t>
  </si>
  <si>
    <t>ARGOLA METAL 19MM</t>
  </si>
  <si>
    <t>ARGOLA METAL 13MM</t>
  </si>
  <si>
    <t>PONTEIRAS</t>
  </si>
  <si>
    <t>PONTEIRA OCA 28MM</t>
  </si>
  <si>
    <t>PONTEIRA OCA 19MM</t>
  </si>
  <si>
    <t>PONTEIRA OCA 13MM</t>
  </si>
  <si>
    <t>PONTEIRA TAMPÃO 19MM</t>
  </si>
  <si>
    <t>PONTEIRA TAMPÃO 28MM</t>
  </si>
  <si>
    <t>PONTEIRA GLOBO 28MM</t>
  </si>
  <si>
    <t>PONTEIRA GLOBO 19MM</t>
  </si>
  <si>
    <t>PONTEIRA CHAMA 28MM</t>
  </si>
  <si>
    <t>PONTEIRA CHAMA 19MM</t>
  </si>
  <si>
    <t xml:space="preserve">VARÃO 28MM ALUMÍNIO </t>
  </si>
  <si>
    <t xml:space="preserve">VARÃO 19MM ALUMÍNIO </t>
  </si>
  <si>
    <t>VARÃO 13MM ALUMÍNIO</t>
  </si>
  <si>
    <t>PONTEIRA QUADRADA CUBO 19MM</t>
  </si>
  <si>
    <t>PONTEIRA QUADRADA CUBO 28MM</t>
  </si>
  <si>
    <t>PONTEIRA VIDRO BOLA CRISTAL 28MM</t>
  </si>
  <si>
    <t>PONTEIRA VIDRO BOLA FOSCA 28MM</t>
  </si>
  <si>
    <t>PONTEIRA VIDRO CUBO CRISTAL 28MM</t>
  </si>
  <si>
    <t>PONTEIRA VIDRO CUBO FOSCA 28MM</t>
  </si>
  <si>
    <t>PONTEIRA FLOR DE LIZ 28MM</t>
  </si>
  <si>
    <t>PONTEIRA FLOR DE LIZ 19MM</t>
  </si>
  <si>
    <t>ABRAÇADEIRAS</t>
  </si>
  <si>
    <t>ABRAÇADEIRA GLOBO 22 CM</t>
  </si>
  <si>
    <t>ABRAÇADEIRA ROSETA LISA 5CM</t>
  </si>
  <si>
    <t xml:space="preserve">ABRAÇADEIRA FLOR DE LIZ 10CM </t>
  </si>
  <si>
    <t>PONTEIRA ABRAÇADEIRA CALABRIA 28MM COM 1,50M</t>
  </si>
  <si>
    <t>SUPORTE DUPLO 19/19MM P/ ILHOS 08CM X 04CM</t>
  </si>
  <si>
    <t>SUPORTE 19MM COM 15CM C/ ROSETA OVAL FIXA</t>
  </si>
  <si>
    <t>SUPORTE 28MM COM 15CM C/ ROSETA OVAL FIXA</t>
  </si>
  <si>
    <t>LINHA RETANGULAR</t>
  </si>
  <si>
    <t>VARÃO RETANGULAR</t>
  </si>
  <si>
    <t>SUP. SIMPLES RETANGULAR</t>
  </si>
  <si>
    <t>SUP. DUPLO RETANGULAR</t>
  </si>
  <si>
    <t>SUP. TETO RETANGULAR</t>
  </si>
  <si>
    <t>PONTEIRA RETANGULAR</t>
  </si>
  <si>
    <t>ARGOLA RETANGULAR</t>
  </si>
  <si>
    <t>FLANGE RETANGULAR</t>
  </si>
  <si>
    <t>QUANT.</t>
  </si>
  <si>
    <t>SUPORTE DE TETO 19MM</t>
  </si>
  <si>
    <t>SUPORTE DE TETO 32MM</t>
  </si>
  <si>
    <t>SUPORTE DE TETO DUPLO 19/19MM</t>
  </si>
  <si>
    <t>EMENDAS</t>
  </si>
  <si>
    <t>SUPORTE DUPLO 19/19MM</t>
  </si>
  <si>
    <t>EMENDA PARA VARÃO 19MM</t>
  </si>
  <si>
    <t>EMENDA PARA VARÃO 28MM</t>
  </si>
  <si>
    <t>EMENDA PARA VARÃO 32MM</t>
  </si>
  <si>
    <t xml:space="preserve">FRANZIDOR 02 FIOS FLORENCE </t>
  </si>
  <si>
    <t>FRANZIDOR 03 FIOS FLORENCE</t>
  </si>
  <si>
    <t>FRANZIDOR 04 FIOS FLORENCE</t>
  </si>
  <si>
    <t>FRANZIDOR 05 FIOS FLORENCE</t>
  </si>
  <si>
    <t>ENTRETELAS</t>
  </si>
  <si>
    <t>FRANZIDORES DE ALGODÃO</t>
  </si>
  <si>
    <t>TRILHO ALUMÍNIO DUPLO</t>
  </si>
  <si>
    <t>TRILHO ALUMÍNIO TRIPLO</t>
  </si>
  <si>
    <t>SB124ALX</t>
  </si>
  <si>
    <t>SUPORTE 28MM COM 20CM C/ ROSETA OVAL FIXA</t>
  </si>
  <si>
    <t>SL069</t>
  </si>
  <si>
    <t>F050AL</t>
  </si>
  <si>
    <t>FLANGE ABERTA 28MM</t>
  </si>
  <si>
    <t>F051AL</t>
  </si>
  <si>
    <t>FLANGE ABERTA 19MM</t>
  </si>
  <si>
    <t>FLANGE ABERTA 13MM</t>
  </si>
  <si>
    <t>SL125AL</t>
  </si>
  <si>
    <t>SL126AL</t>
  </si>
  <si>
    <t>SL162AL</t>
  </si>
  <si>
    <t>SL163AL</t>
  </si>
  <si>
    <t>SL164AL</t>
  </si>
  <si>
    <t>COTOVELO ARTICULÁVEL 28MM</t>
  </si>
  <si>
    <t>COTOVELO ARTICULÁVEL 19MM</t>
  </si>
  <si>
    <t>BF009</t>
  </si>
  <si>
    <t>BF010</t>
  </si>
  <si>
    <t>ABRAÇADEIRA CHAMA 22 CM</t>
  </si>
  <si>
    <t>ABRAÇADEIRA FLOR DE LIZ 22 CM</t>
  </si>
  <si>
    <t>MT09</t>
  </si>
  <si>
    <t>MT10</t>
  </si>
  <si>
    <t>MT39</t>
  </si>
  <si>
    <t>MT40</t>
  </si>
  <si>
    <t>SUPORTE DUPLO 32/32MM</t>
  </si>
  <si>
    <t>SUPORTE SIMPLES 32MM</t>
  </si>
  <si>
    <t>SUPORTE SIMPLES 19MM</t>
  </si>
  <si>
    <t>SUPORTE P/ ILHÓS C/ 10CM 19MM</t>
  </si>
  <si>
    <t>SUPORTE P/ ILHÓS C/ 10CM 32MM</t>
  </si>
  <si>
    <t>FLANGE 19MM</t>
  </si>
  <si>
    <t>FLANGE 32MM</t>
  </si>
  <si>
    <t>AP202</t>
  </si>
  <si>
    <t>AP201</t>
  </si>
  <si>
    <t>PPL229</t>
  </si>
  <si>
    <t>PRESILHA P/ CHALE LOSANGO</t>
  </si>
  <si>
    <t>PRESILHA P/ CHALE OVAL</t>
  </si>
  <si>
    <t>AC011</t>
  </si>
  <si>
    <t>AC012</t>
  </si>
  <si>
    <t>AC027</t>
  </si>
  <si>
    <t>AC019</t>
  </si>
  <si>
    <t>AC020</t>
  </si>
  <si>
    <t>AC021</t>
  </si>
  <si>
    <t>AC005</t>
  </si>
  <si>
    <t>AC006</t>
  </si>
  <si>
    <t>SUPORTE (L) 05X08 ZINCADO</t>
  </si>
  <si>
    <t>SUPORTE (L) 03X03 ZINCADO</t>
  </si>
  <si>
    <t>ABRAÇADEIRA TREVO (LATÃO)</t>
  </si>
  <si>
    <t>AC022</t>
  </si>
  <si>
    <t>R203</t>
  </si>
  <si>
    <t>ROSETA OVAL MACIÇA COM 2 FUROS</t>
  </si>
  <si>
    <t>PSA</t>
  </si>
  <si>
    <t>KPD</t>
  </si>
  <si>
    <t>KC01</t>
  </si>
  <si>
    <t>TRILHO ULTRA DESLIZANTE</t>
  </si>
  <si>
    <t>TRILHO ULTRA DESLIZANTE CURVO</t>
  </si>
  <si>
    <t>SUPORTE TETO P/ TRILHO CURVO</t>
  </si>
  <si>
    <t>SUPORTE PAREDE P/ TRILHO CURVO</t>
  </si>
  <si>
    <t>RODIZIO DESLIZANTE P/ TRILHO CURVO</t>
  </si>
  <si>
    <t>TERMINAL P/ TRILHO CURVO</t>
  </si>
  <si>
    <t>SUPORTE (L) 05X08 PINTADO</t>
  </si>
  <si>
    <t>SUPORTE (L) 03X03 PINTADO</t>
  </si>
  <si>
    <t>AC012P</t>
  </si>
  <si>
    <t>AC005P</t>
  </si>
  <si>
    <t>AC006P</t>
  </si>
  <si>
    <t>ACESSÓRIOS</t>
  </si>
  <si>
    <t>AC030</t>
  </si>
  <si>
    <t>AC031</t>
  </si>
  <si>
    <t>AC032</t>
  </si>
  <si>
    <t>AC033</t>
  </si>
  <si>
    <t>AC034</t>
  </si>
  <si>
    <t>GANCHO PARA ARGOLA</t>
  </si>
  <si>
    <t>GANCHO INCOLOR</t>
  </si>
  <si>
    <t>F052AL</t>
  </si>
  <si>
    <t>PONTEIRA CUBO ACRILICO PRETO 28MM</t>
  </si>
  <si>
    <t>PONTEIRA CUBO ACRILICO CRISTAL 28MM</t>
  </si>
  <si>
    <t>TERMINAL P/ TRILHO ALUMINIO</t>
  </si>
  <si>
    <t>SLMA</t>
  </si>
  <si>
    <t>LINHA UNIC</t>
  </si>
  <si>
    <t>AU45</t>
  </si>
  <si>
    <t>SSU</t>
  </si>
  <si>
    <t>IU45</t>
  </si>
  <si>
    <t>PUC45</t>
  </si>
  <si>
    <t>PTU45</t>
  </si>
  <si>
    <t>VU45</t>
  </si>
  <si>
    <t>SUPORTE SIMPLES 45MM</t>
  </si>
  <si>
    <t>PONTEIRA CRISTAL 45MM</t>
  </si>
  <si>
    <t>PONTEIRA TAMPÃO 45MM</t>
  </si>
  <si>
    <t>VARÃO UNIC 45MM</t>
  </si>
  <si>
    <t>SFU</t>
  </si>
  <si>
    <t>SUPORTE FLANGE 45MM</t>
  </si>
  <si>
    <t>ARGOLA METAL 45MM (UNIDADE)</t>
  </si>
  <si>
    <t>AC035</t>
  </si>
  <si>
    <t>CLTS</t>
  </si>
  <si>
    <t>CLTDA</t>
  </si>
  <si>
    <t>ZINCADO</t>
  </si>
  <si>
    <t>MLA</t>
  </si>
  <si>
    <t>DE</t>
  </si>
  <si>
    <t>PCI</t>
  </si>
  <si>
    <t>PBI</t>
  </si>
  <si>
    <t>AC040</t>
  </si>
  <si>
    <t>AC041</t>
  </si>
  <si>
    <t>AC042</t>
  </si>
  <si>
    <t>FAN19</t>
  </si>
  <si>
    <t>FAN28</t>
  </si>
  <si>
    <t>FLANGE ANEL C/ STRASS 19MM</t>
  </si>
  <si>
    <t>FLANGE ANEL C/ STRASS 28MM</t>
  </si>
  <si>
    <t>FAVOR INFORMAR A ALTURA DO COMANDO DAS CORDAS E O MODELO DE ABERTURA</t>
  </si>
  <si>
    <t>PAS</t>
  </si>
  <si>
    <t>SLDMI</t>
  </si>
  <si>
    <t>TDR</t>
  </si>
  <si>
    <t>DTS</t>
  </si>
  <si>
    <t>DTDI</t>
  </si>
  <si>
    <t>GI</t>
  </si>
  <si>
    <t>PJU</t>
  </si>
  <si>
    <t>DTA</t>
  </si>
  <si>
    <t>CROMADO / AÇO ESC. / PRETO / BRANCO</t>
  </si>
  <si>
    <t>VOIL MATISSE</t>
  </si>
  <si>
    <t>Desconto</t>
  </si>
  <si>
    <t>Acréscimo</t>
  </si>
  <si>
    <t>Digite acima um desconto ou acréscimo para aplicar em todos valores da tabela. O desconto será subtraido do acréscimo se os dois forem digitados.</t>
  </si>
  <si>
    <t>STY</t>
  </si>
  <si>
    <t>Tabela com Desconto de</t>
  </si>
  <si>
    <t>ATÉ 1,00</t>
  </si>
  <si>
    <t>ATÉ 2,00</t>
  </si>
  <si>
    <t>ATÉ 3,00</t>
  </si>
  <si>
    <t>ATÉ 4,00</t>
  </si>
  <si>
    <t>ATÉ 5,00</t>
  </si>
  <si>
    <t>ATÉ 6,00</t>
  </si>
  <si>
    <t>ATÉ 1,50</t>
  </si>
  <si>
    <t>ATÉ 2,50</t>
  </si>
  <si>
    <t>ATÉ 3,50</t>
  </si>
  <si>
    <t>ATÉ 4,50</t>
  </si>
  <si>
    <t>ATÉ 5,50</t>
  </si>
  <si>
    <t>2 X 1</t>
  </si>
  <si>
    <t>2,5 X 1</t>
  </si>
  <si>
    <t>3 X 1</t>
  </si>
  <si>
    <t>3,5 X 1</t>
  </si>
  <si>
    <t>4 X 1</t>
  </si>
  <si>
    <t>CORTE</t>
  </si>
  <si>
    <t>STDY</t>
  </si>
  <si>
    <t>RODIZIO P/ TRILHO ULTRA DESLIZANTE REDONDO</t>
  </si>
  <si>
    <t>RODIZIO P/ TRILHO ULTRA DESLIZANTE QUADRADO</t>
  </si>
  <si>
    <t>AC025A</t>
  </si>
  <si>
    <t>AC037</t>
  </si>
  <si>
    <t>PACOTE C/ 1.000 GANCHOS INCOLOR</t>
  </si>
  <si>
    <t>*Pedidos por telefone (RESPONSABILIDADE SERÁ DO CLIENTE)</t>
  </si>
  <si>
    <t>VOIL DUBAI</t>
  </si>
  <si>
    <t>LINHO RAMI</t>
  </si>
  <si>
    <t>LINHO FINESSE</t>
  </si>
  <si>
    <t>LINHO ASTECA</t>
  </si>
  <si>
    <t>LINHO CORDONÊ</t>
  </si>
  <si>
    <t>LINHO SANREMO</t>
  </si>
  <si>
    <t>EML</t>
  </si>
  <si>
    <t>AC019EX</t>
  </si>
  <si>
    <t>PTTD</t>
  </si>
  <si>
    <t>SUPORTE CHAPA SIMPLES P/ TETO</t>
  </si>
  <si>
    <t>SUPORTE CHAPA DUPLO P/ TETO</t>
  </si>
  <si>
    <t>FS02</t>
  </si>
  <si>
    <t>FS02,5</t>
  </si>
  <si>
    <t>FS03</t>
  </si>
  <si>
    <t>FS03,5</t>
  </si>
  <si>
    <t>FS04</t>
  </si>
  <si>
    <t>EMENDA P/ TRILHO E VARÃO WAVE</t>
  </si>
  <si>
    <t>SUPORTE SIMPLES MASTER</t>
  </si>
  <si>
    <t>SUPORTE DUPLO ALONGADO MASTER</t>
  </si>
  <si>
    <t>PONTEIRA RETANGULAR C/ STRASS</t>
  </si>
  <si>
    <t>TRILHO EXTRA ULTRA DESLIZANTE</t>
  </si>
  <si>
    <t>AC022EX</t>
  </si>
  <si>
    <t>PRESILHA P/ TRILHO ULTRA DESLIZANTE EXTRA</t>
  </si>
  <si>
    <t>TRILHO ULTRA DESLIZANTE (1)</t>
  </si>
  <si>
    <t>TRILHO ULTRA DESLIZANTE DUPLO (2)</t>
  </si>
  <si>
    <t>TRILHO ULTRA DESLIZANTE TRIPLO (3)</t>
  </si>
  <si>
    <t>TRILHO ULTRA DESLIZANTE SIMPLES (1) C/ SANEFA</t>
  </si>
  <si>
    <t>TRILHO ULTRA DESLIZANTE SIMPLES (1) C/ ABA</t>
  </si>
  <si>
    <t>TERMINAL P/ TRILHO ULTRA DESLIZANTE (METAL)</t>
  </si>
  <si>
    <t>AC026A</t>
  </si>
  <si>
    <t>TERMINAL P/ TRILHO ULTRA DESLIZANTE (NYLON)</t>
  </si>
  <si>
    <t>CLIPS P/ TRILHO ULTRA DESLIZANTE</t>
  </si>
  <si>
    <t>RODIZIO DE FERRO ZINCADO</t>
  </si>
  <si>
    <t>PRESILHA P/ TRILHO ULTRA DESLIZANTE</t>
  </si>
  <si>
    <t>ACESSÓRIOS P/ TRILHO ULTRA DESLIZANTE</t>
  </si>
  <si>
    <t>TRILHO ALUMÍNIO</t>
  </si>
  <si>
    <t>TRILHO ALUMÍNIO QUADUPLO</t>
  </si>
  <si>
    <t>SUPORTE PITÃO 13MM COM PÉ</t>
  </si>
  <si>
    <t>SUPORTE TETO 19MM C/ ROSETA OVAL FIXA</t>
  </si>
  <si>
    <t>SUPORTE TETO 28MM C/ ROSETA OVAL FIXA</t>
  </si>
  <si>
    <t>SUPORTE TETO DUPLO 19/19MM C/ ROSETA OVAL FIXA</t>
  </si>
  <si>
    <t>SUPORTE TETO DUPLO 28/28MM C/ ROSETA OVAL FIXA</t>
  </si>
  <si>
    <t>SUPORTE SIMPLES 13MM C/ ROSETA OVAL FIXA</t>
  </si>
  <si>
    <t>SUPORTE DUPLO 19/19MM C/ ROSETA OVAL FIXA</t>
  </si>
  <si>
    <t>SUPORTE DUPLO 19/28MM C/ ROSETA OVAL FIXA</t>
  </si>
  <si>
    <t>SUPORTE DUPLO 28/28MM C/ ROSETA OVAL FIXA</t>
  </si>
  <si>
    <t>SUPORTE SIMPLES 19MM C/ ROSETA OVAL FIXA</t>
  </si>
  <si>
    <t>SUPORTE SIMPLES 28MM C/ ROSETA OVAL FIXA</t>
  </si>
  <si>
    <t>SUPORTE DUPLO 19/28MM P/ ILHOS 08CM X 04CM</t>
  </si>
  <si>
    <t>SUPORTE TRIPLO 19/19/28MM C/ ROSETA OVAL FIXA</t>
  </si>
  <si>
    <t>SUPORTE TETO DUPLO 19/28MM C/ ROSETA OVAL FIXA</t>
  </si>
  <si>
    <t>SUPORTE DUPLO COTOVELO ARTICULÁVEL 19/28MM</t>
  </si>
  <si>
    <t>ABRAÇADEIRA ROSINHA 5CM</t>
  </si>
  <si>
    <t>PRY</t>
  </si>
  <si>
    <t>PONTEIRA RAMY 30CM 28MM</t>
  </si>
  <si>
    <t>MRC32</t>
  </si>
  <si>
    <t>MRC19</t>
  </si>
  <si>
    <t>SUPORTE DUPLO 19/32MM</t>
  </si>
  <si>
    <t>SUPORTE TRIPLO 19/19/32MM</t>
  </si>
  <si>
    <t>SUPORTE C/ 15CM 19MM</t>
  </si>
  <si>
    <t>SUPORTE C/ 15CM 32MM</t>
  </si>
  <si>
    <t>SUPORTE DUPLO ILHÓS CENTRAL 19/32MM</t>
  </si>
  <si>
    <t>SUPORTE DE TETO DUPLO 19/32MM</t>
  </si>
  <si>
    <t>VARÃO</t>
  </si>
  <si>
    <t>ARGOLA DE MADEIRA 19MM</t>
  </si>
  <si>
    <t>ARGOLA DE MADEIRA 32MM</t>
  </si>
  <si>
    <t>IL20</t>
  </si>
  <si>
    <t>ILHÓS REDONDO 28MM</t>
  </si>
  <si>
    <t>IL30</t>
  </si>
  <si>
    <t>ILHÓS REDONDO 19MM</t>
  </si>
  <si>
    <t>IL50</t>
  </si>
  <si>
    <t>ILHÓS QUADRADO 28MM</t>
  </si>
  <si>
    <t>IL60</t>
  </si>
  <si>
    <t>ILHÓS QUADRADO 19MM</t>
  </si>
  <si>
    <t>PP028</t>
  </si>
  <si>
    <t>ILHOSES</t>
  </si>
  <si>
    <t>PRESILHAS</t>
  </si>
  <si>
    <t>SUPORTES EM PVC</t>
  </si>
  <si>
    <t>SUPORTES EM MADEIRA</t>
  </si>
  <si>
    <t>SUPORTES COM ROSETA OVAL FIXA</t>
  </si>
  <si>
    <t>SUPORTES ARTICULÁVEL</t>
  </si>
  <si>
    <t>VARÕES EM ALUMÍNIO</t>
  </si>
  <si>
    <t>MEDIDA</t>
  </si>
  <si>
    <t>FRANZIDO</t>
  </si>
  <si>
    <t>AC004</t>
  </si>
  <si>
    <t>ENTRETELA TNT 8CM BRANCO</t>
  </si>
  <si>
    <t>ENTRETELA TNT 12CM BRANCO</t>
  </si>
  <si>
    <t>TWM</t>
  </si>
  <si>
    <t>TERMINAL PARA WAVE SEM ACIONAMENTO</t>
  </si>
  <si>
    <t>KCMW</t>
  </si>
  <si>
    <t>ARGOLA PVC 19MM</t>
  </si>
  <si>
    <t>ARGOLA PVC 28MM</t>
  </si>
  <si>
    <t>APANHADORES EM MADEIRA</t>
  </si>
  <si>
    <t>APANHADOR DE CHALE EM MADEIRA 11CM</t>
  </si>
  <si>
    <t>APANHADOR DE CHALE EM MADEIRA 16CM</t>
  </si>
  <si>
    <t>SUPORTE ARTICULÁVEL 28MM COM ROSETA QUINA</t>
  </si>
  <si>
    <t>SUPORTE ARTICULÁVEL 19MM COM ROSETA QUINA</t>
  </si>
  <si>
    <t>METRO/UND</t>
  </si>
  <si>
    <t>SUPORTES</t>
  </si>
  <si>
    <t>B144</t>
  </si>
  <si>
    <t>BF007</t>
  </si>
  <si>
    <t>AP124AL</t>
  </si>
  <si>
    <t>AÇO ESC. KLIN</t>
  </si>
  <si>
    <t>EMENDA</t>
  </si>
  <si>
    <t>EMENDA PARA VARÃO WAVE</t>
  </si>
  <si>
    <t>LINHO CARRARA</t>
  </si>
  <si>
    <t>BOOK 06 - PREMIUM COLLECTION</t>
  </si>
  <si>
    <t>KC02</t>
  </si>
  <si>
    <t>*NÃO EFETUAMOS CORTES EM BARRAS</t>
  </si>
  <si>
    <t>VARÃO 28MM ALUMÍNIO</t>
  </si>
  <si>
    <t>TAL002DO</t>
  </si>
  <si>
    <t>TAL002OV</t>
  </si>
  <si>
    <t>TAL003DO</t>
  </si>
  <si>
    <t>TAL003OV</t>
  </si>
  <si>
    <t>TAL004DO</t>
  </si>
  <si>
    <t>TAL004OV</t>
  </si>
  <si>
    <t>TRILHO ULTRA DESLIZANTE SIMPLES (01)</t>
  </si>
  <si>
    <t>TRILHO ULTRA DESLIZANTE DUPLO (02)</t>
  </si>
  <si>
    <t>TRILHO ULTRA DESLIZANTE TRIPLO (03)</t>
  </si>
  <si>
    <t>TRILHO ULTRA DESLIZANTE EXTRA</t>
  </si>
  <si>
    <t>TRILHO ALUMÍNIO QUÁDUPLO</t>
  </si>
  <si>
    <t>CROMADO,AÇO ESCOVADO E BRANCO</t>
  </si>
  <si>
    <t>CROMADO,AÇO ESCOVADO E PRETO</t>
  </si>
  <si>
    <t>MOGNO, BRANCO, MARFIM, IMBUIA, CEREJEIRA</t>
  </si>
  <si>
    <t>VARÃO 19MM ALUMÍNIO</t>
  </si>
  <si>
    <t>VARÃO WAVE ULTRA DESLIZANTE 28MM</t>
  </si>
  <si>
    <t>*PEDIDO MINIMO 5 BARRAS DE CADA COR</t>
  </si>
  <si>
    <t>*Confira os tecidos adquiridos antes de cortar, pois não serão aceitas reclamações caso o tecido esteja cortado ou confeccionado.</t>
  </si>
  <si>
    <t>*Atenção: Tabela com preço especial somente para revendedores</t>
  </si>
  <si>
    <t>AC022P</t>
  </si>
  <si>
    <t>AC023P</t>
  </si>
  <si>
    <t>*TRILHOS: VALOR COBRADO POR METRO (CORTES SOMENTE ATÉ 4,00MTS)</t>
  </si>
  <si>
    <t>ENTRETELA TECIDO 10 CM BRANCA</t>
  </si>
  <si>
    <t>ENTRETELA TECIDO 10 CM BEGE</t>
  </si>
  <si>
    <t>PÊNDULO PARIS</t>
  </si>
  <si>
    <t>VARÃO EM ALUMÍNIO COM PINTURA EPÓXI 19MM</t>
  </si>
  <si>
    <t>VARÃO EM ALUMÍNIO COM PINTURA EPÓXI 28MM</t>
  </si>
  <si>
    <t>VARÃO 19MM REVESTIDO EM MADEIRA POLYWOOD</t>
  </si>
  <si>
    <t>VARÃO 32MM REVESTIDO EM MADEIRA POLYWOOD</t>
  </si>
  <si>
    <t>PALHA</t>
  </si>
  <si>
    <t>TRILHO SQUARE MONTADO COM ACIONAMENTO</t>
  </si>
  <si>
    <t>TRILHO SQUARE MONTADO SEM ACIONAMENTO</t>
  </si>
  <si>
    <t>PONTEIRA SQUARE</t>
  </si>
  <si>
    <t>SUPORTE SIMPLES SQUARE C/ ROSETA</t>
  </si>
  <si>
    <t>SUPORTE ALONGADO SQUARE C/ ROSETA</t>
  </si>
  <si>
    <t>SUPORTE DUPLO ALONGADO SQUARE C/ ROSETA</t>
  </si>
  <si>
    <t>SUPORTE SIMPLES BARI</t>
  </si>
  <si>
    <t>SUPORTE DUPLO BARI</t>
  </si>
  <si>
    <t>PRESILHA EM POLIACETAL P/ TRILHO ULTRA DESLIZANTE (1)</t>
  </si>
  <si>
    <t>PRESILHA EM POLIACETAL P/ TRILHO ULTRA DESLIZANTE (2)</t>
  </si>
  <si>
    <t>FITA WAVE 2 X 1</t>
  </si>
  <si>
    <t>FITA WAVE 2,5 X 1</t>
  </si>
  <si>
    <t>FITA WAVE 3 X 1</t>
  </si>
  <si>
    <t>FITA WAVE 3,5 X 1</t>
  </si>
  <si>
    <t>FITA WAVE 4 X 1</t>
  </si>
  <si>
    <t>RS05ROS</t>
  </si>
  <si>
    <t>RS05ROD</t>
  </si>
  <si>
    <t>VARÃO 19MM ALUMÍNIO COM PINTURA EPOXI</t>
  </si>
  <si>
    <t>VARÃO 28MM ALUMÍNIO COM PINTURA EPOXI</t>
  </si>
  <si>
    <t>COTOVELO PARA VARÃO WAVE</t>
  </si>
  <si>
    <t>SCW</t>
  </si>
  <si>
    <t>SLR</t>
  </si>
  <si>
    <t>PÊNDULO DUBAI C/ STRASS</t>
  </si>
  <si>
    <t>PONTEIRA EURO 28MM</t>
  </si>
  <si>
    <t>PONTEIRA PETRA C/ STRASS</t>
  </si>
  <si>
    <t>PONTEIRA GRÉCIA C/ STRASS</t>
  </si>
  <si>
    <t>PONTEIRA CRETA C/ STRASS</t>
  </si>
  <si>
    <t>PONTEIRA TAJ CRISTAL</t>
  </si>
  <si>
    <t>PONTEIRA REAL CRISTAL</t>
  </si>
  <si>
    <t>IAM</t>
  </si>
  <si>
    <t>AC028D</t>
  </si>
  <si>
    <t>AC029D</t>
  </si>
  <si>
    <t>AC03801</t>
  </si>
  <si>
    <t>AC03802</t>
  </si>
  <si>
    <t>CORDA C/ ESPAÇAMENTO WAVE</t>
  </si>
  <si>
    <t>TRILHO ULTRA DESLIZANTE DUPLO (2) C/ SANEFA</t>
  </si>
  <si>
    <t>RODIZIO P/ TRILHO ULTRA DESLIZANTE REDONDO - PACOTE COM 1.000</t>
  </si>
  <si>
    <t>RODIZIO P/ TRILHO ULTRA DESLIZANTE QUADRADO - PACOTE COM 1.000</t>
  </si>
  <si>
    <t>TRILHO ULTRA DESLIZANTE C/ SANEFA (01) SIMPLES</t>
  </si>
  <si>
    <t>TRILHO ULTRA DESLIZANTE C/ SANEFA (02) DUPLO</t>
  </si>
  <si>
    <t>PSQUARE</t>
  </si>
  <si>
    <t>PÊNDULO SQUARE</t>
  </si>
  <si>
    <t>PBARI</t>
  </si>
  <si>
    <t>PÊNDULO BARI</t>
  </si>
  <si>
    <t>CLK</t>
  </si>
  <si>
    <t>CLICK CENTRAL</t>
  </si>
  <si>
    <t>PTEX</t>
  </si>
  <si>
    <t>PONTEIRA P/ TRILHO EXTRA</t>
  </si>
  <si>
    <t>TRILHO SQUARE</t>
  </si>
  <si>
    <t>AC029P</t>
  </si>
  <si>
    <t>BLACK-OUT ATENAS</t>
  </si>
  <si>
    <t>BLACK-OUT KAIRO</t>
  </si>
  <si>
    <t>FORRO CORTILESTER</t>
  </si>
  <si>
    <t>BLACK-OUT VEDA LUZ</t>
  </si>
  <si>
    <t>GORGURINHO</t>
  </si>
  <si>
    <t>RUSTICO PESADO</t>
  </si>
  <si>
    <t>VOIL LOS ANGELES</t>
  </si>
  <si>
    <t>*Não trocamos tecidos e varões cortados</t>
  </si>
  <si>
    <t>PIQUET</t>
  </si>
  <si>
    <t>GUANABARA</t>
  </si>
  <si>
    <t>VELUDO</t>
  </si>
  <si>
    <t>OXFORD</t>
  </si>
  <si>
    <t>SARJA</t>
  </si>
  <si>
    <t>CETIM LISO</t>
  </si>
  <si>
    <t>RUSTICO SINTÉTICO</t>
  </si>
  <si>
    <t>JACQUARD LISO</t>
  </si>
  <si>
    <t>JACQUARD LISTRADO</t>
  </si>
  <si>
    <t>JACQUARD MEDALHÃO</t>
  </si>
  <si>
    <t>PRESILHA EM POLIACETAL P/ TRILHO ULTRA DESL. SIMPLES (1) C/ SANEFA</t>
  </si>
  <si>
    <t>PRESILHA EM POLIACETAL P/ TRILHO ULTRA DESL. DUPLO (2) C/ SANEFA</t>
  </si>
  <si>
    <r>
      <t>ABRAÇADEIRA QUADRADO 12CM</t>
    </r>
    <r>
      <rPr>
        <b/>
        <sz val="9"/>
        <rFont val="Arial"/>
        <family val="2"/>
      </rPr>
      <t xml:space="preserve"> (SOB CONSULTA)</t>
    </r>
  </si>
  <si>
    <r>
      <t>ABRAÇADEIRA QUADRADO 6CM</t>
    </r>
    <r>
      <rPr>
        <b/>
        <sz val="9"/>
        <rFont val="Arial"/>
        <family val="2"/>
      </rPr>
      <t xml:space="preserve"> (SOB CONSULTA)</t>
    </r>
  </si>
  <si>
    <r>
      <t xml:space="preserve">ABRAÇADEIRA FORMATEX 22 CM. </t>
    </r>
    <r>
      <rPr>
        <b/>
        <sz val="9"/>
        <rFont val="Arial"/>
        <family val="2"/>
      </rPr>
      <t>(SOB CONSULTA)</t>
    </r>
  </si>
  <si>
    <r>
      <t xml:space="preserve">ABRAÇADEIRA ITÁLIA 6CM </t>
    </r>
    <r>
      <rPr>
        <b/>
        <sz val="9"/>
        <rFont val="Arial"/>
        <family val="2"/>
      </rPr>
      <t xml:space="preserve"> (SOB CONSULTA)</t>
    </r>
  </si>
  <si>
    <r>
      <t>ABRAÇADEIRA PIRÂMIDE PRETO</t>
    </r>
    <r>
      <rPr>
        <b/>
        <sz val="9"/>
        <rFont val="Arial"/>
        <family val="2"/>
      </rPr>
      <t xml:space="preserve"> (SOB CONSULTA)</t>
    </r>
  </si>
  <si>
    <r>
      <t xml:space="preserve">ABRAÇADEIRA PRESILHA OVAL ALUMINIO </t>
    </r>
    <r>
      <rPr>
        <b/>
        <sz val="9"/>
        <rFont val="Arial"/>
        <family val="2"/>
      </rPr>
      <t>(SOB CONSULTA)</t>
    </r>
  </si>
  <si>
    <r>
      <t xml:space="preserve">ABRAÇADEIRA PRESILHA LOSANGO ALUMINIO </t>
    </r>
    <r>
      <rPr>
        <b/>
        <sz val="9"/>
        <rFont val="Arial"/>
        <family val="2"/>
      </rPr>
      <t>(SOB CONSULTA)</t>
    </r>
  </si>
  <si>
    <r>
      <t xml:space="preserve">ABRAÇADEIRA PRESILHA QUADRADA ALUMINIO </t>
    </r>
    <r>
      <rPr>
        <b/>
        <sz val="9"/>
        <rFont val="Arial"/>
        <family val="2"/>
      </rPr>
      <t>(SOB CONSULTA)</t>
    </r>
  </si>
  <si>
    <r>
      <t>ABRAÇADEIRA CUBO ACRÍLICO PRETO</t>
    </r>
    <r>
      <rPr>
        <b/>
        <sz val="9"/>
        <rFont val="Arial"/>
        <family val="2"/>
      </rPr>
      <t xml:space="preserve"> (SOB CONSULTA)</t>
    </r>
  </si>
  <si>
    <r>
      <t xml:space="preserve">ABRAÇADEIRA CUBO ACRÍLICO CRISTAL </t>
    </r>
    <r>
      <rPr>
        <b/>
        <sz val="9"/>
        <rFont val="Arial"/>
        <family val="2"/>
      </rPr>
      <t>(SOB CONSULTA)</t>
    </r>
  </si>
  <si>
    <r>
      <t xml:space="preserve">PONTEIRA FORMATEX 28MM </t>
    </r>
    <r>
      <rPr>
        <b/>
        <sz val="9"/>
        <rFont val="Arial"/>
        <family val="2"/>
      </rPr>
      <t xml:space="preserve"> (SOB CONSULTA)</t>
    </r>
  </si>
  <si>
    <r>
      <t xml:space="preserve">PONTEIRA FORMATEX 19MM  </t>
    </r>
    <r>
      <rPr>
        <b/>
        <sz val="9"/>
        <rFont val="Arial"/>
        <family val="2"/>
      </rPr>
      <t>(SOB CONSULTA)</t>
    </r>
  </si>
  <si>
    <r>
      <t xml:space="preserve">PONTEIRA QUADRADA CHATA 28MM  </t>
    </r>
    <r>
      <rPr>
        <b/>
        <sz val="9"/>
        <rFont val="Arial"/>
        <family val="2"/>
      </rPr>
      <t>(SOB CONSULTA)</t>
    </r>
  </si>
  <si>
    <r>
      <t xml:space="preserve">PONTEIRA CHINESA 28MM </t>
    </r>
    <r>
      <rPr>
        <b/>
        <sz val="9"/>
        <rFont val="Arial"/>
        <family val="2"/>
      </rPr>
      <t xml:space="preserve"> (SOB CONSULTA)</t>
    </r>
  </si>
  <si>
    <r>
      <t xml:space="preserve">PONTEIRA CHINESA 19MM </t>
    </r>
    <r>
      <rPr>
        <b/>
        <sz val="9"/>
        <rFont val="Arial"/>
        <family val="2"/>
      </rPr>
      <t xml:space="preserve"> (SOB CONSULTA)</t>
    </r>
  </si>
  <si>
    <r>
      <t xml:space="preserve">PONTEIRA PIRÂMIDE PRETO 28MM </t>
    </r>
    <r>
      <rPr>
        <b/>
        <sz val="9"/>
        <rFont val="Arial"/>
        <family val="2"/>
      </rPr>
      <t>(SOB CONSULTA)</t>
    </r>
  </si>
  <si>
    <t>BOOK 09 - BASIC</t>
  </si>
  <si>
    <t>OURO V.</t>
  </si>
  <si>
    <t>VARÃO WAVE ULTRA DESLIZANTE 28MM *</t>
  </si>
  <si>
    <t>TRILHO SQUARE *</t>
  </si>
  <si>
    <t>VARÃO RETANGULAR *</t>
  </si>
  <si>
    <t>VARÃO UNIC 45MM *</t>
  </si>
  <si>
    <t>*VARÕES E TRILHOS COBRADO POR METRO (CORTES SOMENTE ATÉ 4,00MTS)</t>
  </si>
  <si>
    <t>CORDA P/ SISTEMA DE ACION. 1.6 P/ TRILHO</t>
  </si>
  <si>
    <t>CORDA P/ SISTEMA DE ACION. 2.0</t>
  </si>
  <si>
    <t>CROMADO/ AÇO ESC. / PRETO / BRANCO</t>
  </si>
  <si>
    <r>
      <t xml:space="preserve">CROMADO </t>
    </r>
    <r>
      <rPr>
        <b/>
        <sz val="9"/>
        <rFont val="Arial"/>
        <family val="2"/>
      </rPr>
      <t>SEM VERNIZ</t>
    </r>
  </si>
  <si>
    <r>
      <t xml:space="preserve">CROMADO </t>
    </r>
    <r>
      <rPr>
        <b/>
        <sz val="9"/>
        <rFont val="Arial"/>
        <family val="2"/>
      </rPr>
      <t>COM VERNIZ</t>
    </r>
  </si>
  <si>
    <t>SUPORTE (L) 05X05 PINTADO</t>
  </si>
  <si>
    <t>SUPORTE (L) 05X05 ZINCADO</t>
  </si>
  <si>
    <t>VARÃO 19MM REVESTIDO EM MADEIRA  POLYWOOD</t>
  </si>
  <si>
    <t>VARÃO 32MM REVESTIDO EM MADEIRA  POLYWOOD</t>
  </si>
  <si>
    <t>SUPORTE 28MM COM 7CM C/ ROSETA OVAL FIXA</t>
  </si>
  <si>
    <t>SUPORTE 19MM COM 7CM C/ ROSETA OVAL FIXA</t>
  </si>
  <si>
    <t>S/ FITA</t>
  </si>
  <si>
    <t>BOOK 10</t>
  </si>
  <si>
    <t>TRICÔ PERSEU</t>
  </si>
  <si>
    <t>TRICÔ CRATOS</t>
  </si>
  <si>
    <t>LINHO ALFEU</t>
  </si>
  <si>
    <t>LINHO URÂNIA</t>
  </si>
  <si>
    <t>LINHO NEPAL</t>
  </si>
  <si>
    <t>SHANTUNG EROS</t>
  </si>
  <si>
    <t>LINHO DIONE</t>
  </si>
  <si>
    <t>LINHO CORDOBA</t>
  </si>
  <si>
    <t>LINHO BELIZE</t>
  </si>
  <si>
    <t>LINHO MACAPÁ</t>
  </si>
  <si>
    <t>RÚSTICO APOLO</t>
  </si>
  <si>
    <t>FORRO OXFORD</t>
  </si>
  <si>
    <t>VOIL BOGOTÁ</t>
  </si>
  <si>
    <t>LINHO BRISTOL II</t>
  </si>
  <si>
    <t>ORGANZA BELIZE</t>
  </si>
  <si>
    <t>BLACK-OUT MELBOURN</t>
  </si>
  <si>
    <t>BLACK-OUT SUNSHINE</t>
  </si>
  <si>
    <t>BLACK-OUT MALI</t>
  </si>
  <si>
    <t>BLACK-OUT ACAPULCO</t>
  </si>
  <si>
    <t>FORRO POLIESTER</t>
  </si>
  <si>
    <t>FORRO TERGAL</t>
  </si>
  <si>
    <t>CROMADO / BRANCO</t>
  </si>
  <si>
    <r>
      <t xml:space="preserve">ILHOS RETANGULAR </t>
    </r>
    <r>
      <rPr>
        <b/>
        <sz val="8"/>
        <rFont val="Arial"/>
        <family val="2"/>
      </rPr>
      <t xml:space="preserve">CROMADO </t>
    </r>
    <r>
      <rPr>
        <sz val="8"/>
        <rFont val="Arial"/>
        <family val="2"/>
      </rPr>
      <t>(PACOTE C/ 50 UNIDADES)</t>
    </r>
  </si>
  <si>
    <r>
      <t xml:space="preserve">ILHOS RETANGULAR </t>
    </r>
    <r>
      <rPr>
        <b/>
        <sz val="8"/>
        <rFont val="Arial"/>
        <family val="2"/>
      </rPr>
      <t>AÇO ESCOVADO</t>
    </r>
    <r>
      <rPr>
        <sz val="8"/>
        <rFont val="Arial"/>
        <family val="2"/>
      </rPr>
      <t xml:space="preserve"> (PACOTE C/ 50 UNIDADES)</t>
    </r>
  </si>
  <si>
    <r>
      <t xml:space="preserve">ILHOS RETANGULAR </t>
    </r>
    <r>
      <rPr>
        <b/>
        <sz val="8"/>
        <rFont val="Arial"/>
        <family val="2"/>
      </rPr>
      <t>PRETO</t>
    </r>
    <r>
      <rPr>
        <sz val="8"/>
        <rFont val="Arial"/>
        <family val="2"/>
      </rPr>
      <t xml:space="preserve"> (PACOTE C/ 50 UNIDADES)</t>
    </r>
  </si>
  <si>
    <t>AÇO ESCOVADO</t>
  </si>
  <si>
    <t>CROMADO / AÇO ESC / PRETO</t>
  </si>
  <si>
    <t>SSW</t>
  </si>
  <si>
    <t>SUPORTE L SIMPLES 7 X 7 P/ WAVE</t>
  </si>
  <si>
    <t>PRETO / BRANCO</t>
  </si>
  <si>
    <t>DOURADO / OURO VELHO / OURO ROSE</t>
  </si>
  <si>
    <t>CROM / AÇO ESC / DOUR/ PRETO / BRANCO / OURO V. / OURO R.</t>
  </si>
  <si>
    <t>STYT</t>
  </si>
  <si>
    <t>STDYT</t>
  </si>
  <si>
    <t>P055W</t>
  </si>
  <si>
    <t>PONTEIRA TAMPÃO 28MM WAVE</t>
  </si>
  <si>
    <t>SUPORTE L COM REGULAGEM DUPLO 7 X 12</t>
  </si>
  <si>
    <r>
      <t xml:space="preserve">ILHÓS REDONDO 45MM </t>
    </r>
    <r>
      <rPr>
        <b/>
        <sz val="8"/>
        <rFont val="Arial"/>
        <family val="2"/>
      </rPr>
      <t>CROMADO</t>
    </r>
    <r>
      <rPr>
        <sz val="8"/>
        <rFont val="Arial"/>
        <family val="2"/>
      </rPr>
      <t xml:space="preserve"> (PACOTE C/ 50 UNIDADES)</t>
    </r>
  </si>
  <si>
    <r>
      <t xml:space="preserve">ILHÓS REDONDO 45MM </t>
    </r>
    <r>
      <rPr>
        <b/>
        <sz val="8"/>
        <rFont val="Arial"/>
        <family val="2"/>
      </rPr>
      <t xml:space="preserve">AÇO ESCOVADO </t>
    </r>
    <r>
      <rPr>
        <sz val="8"/>
        <rFont val="Arial"/>
        <family val="2"/>
      </rPr>
      <t>(PACOTE C/ 50 UNIDADES)</t>
    </r>
  </si>
  <si>
    <r>
      <t xml:space="preserve">ILHÓS REDONDO 45MM </t>
    </r>
    <r>
      <rPr>
        <b/>
        <sz val="8"/>
        <rFont val="Arial"/>
        <family val="2"/>
      </rPr>
      <t>PRETO</t>
    </r>
    <r>
      <rPr>
        <sz val="8"/>
        <rFont val="Arial"/>
        <family val="2"/>
      </rPr>
      <t xml:space="preserve"> (PACOTE C/ 50 UNIDADES)</t>
    </r>
  </si>
  <si>
    <t>AVIAMENTOS WAVE</t>
  </si>
  <si>
    <t>CLTDAT</t>
  </si>
  <si>
    <t>CLTST</t>
  </si>
  <si>
    <t>KWS</t>
  </si>
  <si>
    <t>KIT PARA ACIONAMENTO POR CORDA PARA TRILHO SQUARE</t>
  </si>
  <si>
    <t>FITAS E ENTRETELA WAVE</t>
  </si>
  <si>
    <t>EWP</t>
  </si>
  <si>
    <t>TRANSPARENTE</t>
  </si>
  <si>
    <t>VARÕES WAVE</t>
  </si>
  <si>
    <t>KIT PARA ACIONAMENTO POR CORDA MOD. WAVE PARA VARÃO ULTRA DESLIZANTE E TRILHO EXTRA</t>
  </si>
  <si>
    <t>BRANCO / PRETO</t>
  </si>
  <si>
    <r>
      <t>VARÃO WAVE ULTRA DESLIZANTE 28MM</t>
    </r>
    <r>
      <rPr>
        <b/>
        <sz val="10"/>
        <rFont val="Arial"/>
        <family val="2"/>
      </rPr>
      <t xml:space="preserve"> *</t>
    </r>
  </si>
  <si>
    <r>
      <t xml:space="preserve">CROMADO </t>
    </r>
    <r>
      <rPr>
        <b/>
        <sz val="10"/>
        <rFont val="Arial"/>
        <family val="2"/>
      </rPr>
      <t>COM VERNIZ</t>
    </r>
  </si>
  <si>
    <t>AC019EXAB</t>
  </si>
  <si>
    <t>TRILHO EXTRA ULTRA DESLIZANTE COM ABA</t>
  </si>
  <si>
    <t>RWM</t>
  </si>
  <si>
    <t>RODIZIO DESL. WAVE MAXI P/ CLIPS</t>
  </si>
  <si>
    <t>PEÇA 50M</t>
  </si>
  <si>
    <t>50M / 1000UND</t>
  </si>
  <si>
    <t>RODIZIO DESL. P/ WAVE</t>
  </si>
  <si>
    <t>SUPORTE EM PVC</t>
  </si>
  <si>
    <t>SUPORTE 19MM PVC JOGO COM PONTEIRAS</t>
  </si>
  <si>
    <t>SUPORTE 28MM PVC JOGO COM PONTEIRAS</t>
  </si>
  <si>
    <t>SUPORTE DUPLO 19/19MM PVC JOGO COM PONTEIRAS</t>
  </si>
  <si>
    <t>SUPORTE DUPLO 19/28MM PVC JOGO COM PONTEIRAS</t>
  </si>
  <si>
    <t>FLANGE 19MM PVC JOGO</t>
  </si>
  <si>
    <t>FLANGE 28MM PVC JOGO</t>
  </si>
  <si>
    <r>
      <t xml:space="preserve">VOIL AMASSADO CORTTEX </t>
    </r>
    <r>
      <rPr>
        <b/>
        <sz val="11"/>
        <rFont val="Arial"/>
        <family val="2"/>
      </rPr>
      <t>(01-02-04-05-09-10-26-28-40 FORA DE LINHA)</t>
    </r>
  </si>
  <si>
    <r>
      <t>VOIL MATISSE</t>
    </r>
    <r>
      <rPr>
        <b/>
        <sz val="11"/>
        <rFont val="Arial"/>
        <family val="2"/>
      </rPr>
      <t xml:space="preserve"> (SOMENTE COR 05)</t>
    </r>
  </si>
  <si>
    <t>*TAFETÁ FLAMÊ LISO (SOMENTE COR 07)</t>
  </si>
  <si>
    <t>*TAFETÁ FLAMÊ LIST (SOMENTE COR 03)</t>
  </si>
  <si>
    <t>LINHO PANAMA</t>
  </si>
  <si>
    <t>CEREJEIRA</t>
  </si>
  <si>
    <t>MOGNO</t>
  </si>
  <si>
    <t>IMBUIA</t>
  </si>
  <si>
    <t>CROM / AÇO ESC / PRETO / BRANCO</t>
  </si>
  <si>
    <t>PARAFUSOS</t>
  </si>
  <si>
    <t>396728021C</t>
  </si>
  <si>
    <t>396730021C</t>
  </si>
  <si>
    <t>PARAFUSO PHILIPS 3,5 X 25 CABEÇA CHATA</t>
  </si>
  <si>
    <t>PARAFUSO PHILIPS 5,0 X 60 CABEÇA CHATA</t>
  </si>
  <si>
    <t>PARAFUSO PHILIPS 5,0 X 50 CABEÇA CHATA</t>
  </si>
  <si>
    <t>PARAFUSO PHILIPS 3,9 X 32 CABEÇA CHATA</t>
  </si>
  <si>
    <t>PARAFUSO PHILIPS 2,9 X 13 CABEÇA CHATA</t>
  </si>
  <si>
    <t>ARRUELA LISA 5,0</t>
  </si>
  <si>
    <t>PARAFUSO PHILIPS BROCANTE 4,2 X 16</t>
  </si>
  <si>
    <t>PARAFUSO PHILIPS 4,5 X 50 CABEÇA CHATA</t>
  </si>
  <si>
    <t>BUCHAS</t>
  </si>
  <si>
    <t>BUCHA NYLON Nº 6</t>
  </si>
  <si>
    <t>BUCHA NYLON Nº 7</t>
  </si>
  <si>
    <t>BUCHA NYLON Nº 5</t>
  </si>
  <si>
    <t>BROCAS</t>
  </si>
  <si>
    <t>BROCA AÇO CISER EXCCELLENT 3.0</t>
  </si>
  <si>
    <t>BROCA WIDEA CISER ESPECIAL 5 (3 X 16) X100</t>
  </si>
  <si>
    <t>BROCA WIDEA CISER ESPECIAL 6 (7 X 32) X100</t>
  </si>
  <si>
    <t>BROCA WIDEA CISER ESPECIAL 6,5 (1/4) X100</t>
  </si>
  <si>
    <t>BROCA WIDEA CISER ESPECIAL 7 (9/32) X100</t>
  </si>
  <si>
    <t>PONTA PHILIPS MAGNETICA P/ PARAFUSADEIRA 21</t>
  </si>
  <si>
    <t>CENTO</t>
  </si>
  <si>
    <t>PARAFUSO PHILIPS 4,0 X 10 CABEÇA PANELA C/ PORCA SEXTAVADO 4,0</t>
  </si>
  <si>
    <t>5 BARRAS</t>
  </si>
  <si>
    <t>10 BARRAS</t>
  </si>
  <si>
    <t>ACIMA DE    5 BARRAS</t>
  </si>
  <si>
    <t>ACIMA DE    10 BARRAS</t>
  </si>
  <si>
    <t>TRILHO ULTRA DESLIZANTE EXTRA C/ ABA</t>
  </si>
  <si>
    <t>MOGNO, MARFIM, IMBUIA, CEREJEIRA, PALHA</t>
  </si>
  <si>
    <t>BRANCO/PRETO</t>
  </si>
  <si>
    <t>100UND</t>
  </si>
  <si>
    <t>100 UND</t>
  </si>
  <si>
    <t>PONTEIRA P/ TRILHO EXTRA COM ABA E SEM ABA</t>
  </si>
  <si>
    <t>AC020AL</t>
  </si>
  <si>
    <t>PRESILHA EM POLIACETAL P/ TRILHO EXTRA</t>
  </si>
  <si>
    <t>PACOTE C/ 100 RODIZIO ZINCADO</t>
  </si>
  <si>
    <t>PACOTE C/ 1000 RODIZIO ZINCADO</t>
  </si>
  <si>
    <t>TRILHO ULTRA DESLIZANTE DUPLO (02) ALONGADO</t>
  </si>
  <si>
    <t>TRILHO ULTRA DESLIZANTE SIMPLES C/ ABA (01)</t>
  </si>
  <si>
    <t>AC008-3</t>
  </si>
  <si>
    <t>PACOTE C/ 100 GANCHOS INCOLOR</t>
  </si>
  <si>
    <t>CENTRO</t>
  </si>
  <si>
    <t>CORES: CROMADO, AÇO ESCOVADO, BRANCO, PRETO,DOURADO,OURO VELHO E OURO ROSE</t>
  </si>
  <si>
    <t>COR: BRANCO E PRETO</t>
  </si>
  <si>
    <t>PRESILHA EM POLIACETAL P/ TRILHO EXTRA - BRANCO E PRETO</t>
  </si>
  <si>
    <r>
      <t xml:space="preserve">SUPORTE SIMPLES BARI C/ TRAVA </t>
    </r>
    <r>
      <rPr>
        <b/>
        <sz val="10"/>
        <rFont val="Arial"/>
        <family val="2"/>
      </rPr>
      <t>*LANÇAMENTO</t>
    </r>
  </si>
  <si>
    <r>
      <t xml:space="preserve">SUPORTE DUPLO BARI C/ TRAVA </t>
    </r>
    <r>
      <rPr>
        <b/>
        <sz val="10"/>
        <rFont val="Arial"/>
        <family val="2"/>
      </rPr>
      <t>*LANÇAMENTO</t>
    </r>
  </si>
  <si>
    <r>
      <t xml:space="preserve">SUPORTE CHAPA SIMPLES P/ TETO  C/ TRAVA </t>
    </r>
    <r>
      <rPr>
        <b/>
        <sz val="10"/>
        <rFont val="Arial"/>
        <family val="2"/>
      </rPr>
      <t>*LANÇAMENTO</t>
    </r>
  </si>
  <si>
    <r>
      <t>SUPORTE SIMPLES BARI C/ TRAVA</t>
    </r>
    <r>
      <rPr>
        <b/>
        <sz val="10"/>
        <rFont val="Arial"/>
        <family val="2"/>
      </rPr>
      <t xml:space="preserve"> *LANÇAMENTO</t>
    </r>
  </si>
  <si>
    <r>
      <t>SUPORTE CHAPA DUPLO P/ TETO  C/ TRAVA</t>
    </r>
    <r>
      <rPr>
        <b/>
        <sz val="10"/>
        <rFont val="Arial"/>
        <family val="2"/>
      </rPr>
      <t xml:space="preserve"> *LANÇAMENTO</t>
    </r>
  </si>
  <si>
    <r>
      <t>SUPORTE DUPLO BARI C/ TRAVA</t>
    </r>
    <r>
      <rPr>
        <b/>
        <sz val="10"/>
        <rFont val="Arial"/>
        <family val="2"/>
      </rPr>
      <t xml:space="preserve"> *LANÇAMENTO</t>
    </r>
  </si>
  <si>
    <t>WAVE PLUS</t>
  </si>
  <si>
    <t>MODELO WAVE PLUS NÃO ACOMPANHA A ENTRETELA QUE DEVE SER ADQUIRIDA SEPARADAMENTE</t>
  </si>
  <si>
    <t>KITS PARA ACIONAMENTO WAVE</t>
  </si>
  <si>
    <t>BOOK 12</t>
  </si>
  <si>
    <t>JACQUARD PARIS</t>
  </si>
  <si>
    <t>JACQUARD LYON</t>
  </si>
  <si>
    <t>JACQUARD NANTES</t>
  </si>
  <si>
    <t>JACQUARD ELINE</t>
  </si>
  <si>
    <t>JACQUARD RIVIERA</t>
  </si>
  <si>
    <t>VOIL LA PAZ</t>
  </si>
  <si>
    <t>VOIL SELVAGEM</t>
  </si>
  <si>
    <t>PRAZO DE ENTREGA: 7 DIAS PARA TRILHOS NOVOS E 5 DIAS PARA CONSERTO</t>
  </si>
  <si>
    <t>PRAZO DE ENTREGA: 7 DIAS PARA VARÕES NOVOS E 5 DIAS PARA CONSERTO</t>
  </si>
  <si>
    <t>SPRAY SILICONE</t>
  </si>
  <si>
    <t>VOIL SEVILHA</t>
  </si>
  <si>
    <t>VOIL LISO</t>
  </si>
  <si>
    <r>
      <t>CROMADO</t>
    </r>
    <r>
      <rPr>
        <b/>
        <sz val="10"/>
        <rFont val="Arial"/>
        <family val="2"/>
      </rPr>
      <t xml:space="preserve"> SEM VERNIZ</t>
    </r>
  </si>
  <si>
    <t>TERMINAL MAX</t>
  </si>
  <si>
    <t>AC039</t>
  </si>
  <si>
    <t>ABRAÇADEIRA CORAÇÃO</t>
  </si>
  <si>
    <t>200+</t>
  </si>
  <si>
    <t>BC002</t>
  </si>
  <si>
    <r>
      <t>FORRO PESADO TRAMAXUS</t>
    </r>
    <r>
      <rPr>
        <b/>
        <sz val="11"/>
        <rFont val="Arial"/>
        <family val="2"/>
      </rPr>
      <t xml:space="preserve"> (SOB CONSULTA)</t>
    </r>
  </si>
  <si>
    <r>
      <t xml:space="preserve">SUPORTE DUPLO BARI C/ TRAVA                                     </t>
    </r>
    <r>
      <rPr>
        <b/>
        <sz val="10"/>
        <rFont val="Arial"/>
        <family val="2"/>
      </rPr>
      <t>*LANÇAMENTO</t>
    </r>
  </si>
  <si>
    <r>
      <t xml:space="preserve">SUPORTE SIMPLES BARI C/ TRAVA                                  </t>
    </r>
    <r>
      <rPr>
        <b/>
        <sz val="10"/>
        <rFont val="Arial"/>
        <family val="2"/>
      </rPr>
      <t>*LANÇAMENTO</t>
    </r>
  </si>
  <si>
    <r>
      <t xml:space="preserve">SUPORTE CHAPA SIMPLES P/ TETO  C/ TRAVA             </t>
    </r>
    <r>
      <rPr>
        <b/>
        <sz val="10"/>
        <rFont val="Arial"/>
        <family val="2"/>
      </rPr>
      <t>BRANCO / PRETO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*LANÇAMENTO</t>
    </r>
  </si>
  <si>
    <r>
      <t xml:space="preserve">SUPORTE CHAPA SIMPLES P/ TETO                                </t>
    </r>
    <r>
      <rPr>
        <b/>
        <sz val="10"/>
        <rFont val="Arial"/>
        <family val="2"/>
      </rPr>
      <t>BRANCO / PRETO</t>
    </r>
  </si>
  <si>
    <r>
      <t xml:space="preserve">SUPORTE CHAPA DUPLO P/ TETO  C/ TRAVA                </t>
    </r>
    <r>
      <rPr>
        <b/>
        <sz val="10"/>
        <rFont val="Arial"/>
        <family val="2"/>
      </rPr>
      <t>BRANCO / PRETO *LANÇAMENTO</t>
    </r>
  </si>
  <si>
    <r>
      <t xml:space="preserve">SUPORTE CHAPA DUPLO P/ TETO                                   </t>
    </r>
    <r>
      <rPr>
        <b/>
        <sz val="10"/>
        <rFont val="Arial"/>
        <family val="2"/>
      </rPr>
      <t>BRANCO / PRETO</t>
    </r>
  </si>
  <si>
    <r>
      <t xml:space="preserve">SUPORTE CHAPA SIMPLES P/ TETO  C/ TRAVA                               </t>
    </r>
    <r>
      <rPr>
        <b/>
        <sz val="10"/>
        <rFont val="Arial"/>
        <family val="2"/>
      </rPr>
      <t xml:space="preserve"> BRANCO / PRETO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*LANÇAMENTO</t>
    </r>
  </si>
  <si>
    <r>
      <t xml:space="preserve">SUPORTE CHAPA SIMPLES P/ TETO                                            </t>
    </r>
    <r>
      <rPr>
        <b/>
        <sz val="10"/>
        <rFont val="Arial"/>
        <family val="2"/>
      </rPr>
      <t xml:space="preserve">     BRANCO / PRETO</t>
    </r>
  </si>
  <si>
    <r>
      <t xml:space="preserve">SUPORTE CHAPA DUPLO P/ TETO  C/ TRAVA                                  </t>
    </r>
    <r>
      <rPr>
        <b/>
        <sz val="10"/>
        <rFont val="Arial"/>
        <family val="2"/>
      </rPr>
      <t xml:space="preserve"> BRANCO / PRETO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*LANÇAMENTO</t>
    </r>
  </si>
  <si>
    <r>
      <t xml:space="preserve">SUPORTE CHAPA DUPLO P/ TETO                                                   </t>
    </r>
    <r>
      <rPr>
        <b/>
        <sz val="10"/>
        <rFont val="Arial"/>
        <family val="2"/>
      </rPr>
      <t xml:space="preserve"> BRANCO / PRETO</t>
    </r>
  </si>
  <si>
    <t>PPD</t>
  </si>
  <si>
    <t>PÊNDULO DE PAREDE</t>
  </si>
  <si>
    <t>BRANCO / PRETO / KAKI / CINZA / BEGE</t>
  </si>
  <si>
    <t>CROMADO / BRANCO / PRETO</t>
  </si>
  <si>
    <t>PARA FAZER CURVAS NO VARÃO SERÁ COBRADO UM ADICIONAL DE R$ 165,00 POR CURVA</t>
  </si>
  <si>
    <t>CORES: BRANCO, PRETO E CROMADO</t>
  </si>
  <si>
    <t>TRILHO ULTRA DESLIZANTE DUPLO (2) ESPAÇADO</t>
  </si>
  <si>
    <t>PRESILHA P/ TRILHO ULTRA DESLIZANTE DUPLO (2) C/ SANEFA  (METAL)</t>
  </si>
  <si>
    <t>PRESILHA P/ TRILHO ULTRA DESLIZANTE SIMPLES (1) C/ SANEFA  (METAL)</t>
  </si>
  <si>
    <t>PRESILHA P/ TRILHO ULTRA DESLIZANTE EXTRA (METAL)</t>
  </si>
  <si>
    <t>PRESILHA P/ TRILHO ULTRA DESLIZANTE (3) (METAL)</t>
  </si>
  <si>
    <t>PRESILHA P/ TRILHO ULTRA DESLIZANTE (2) (METAL)</t>
  </si>
  <si>
    <t>PRESILHA P/ TRILHO ULTRA DESLIZANTE (1) (METAL)</t>
  </si>
  <si>
    <t>CORES MADEIRA</t>
  </si>
  <si>
    <t>DOURADO, OURO VELHO E OURO ROSE</t>
  </si>
  <si>
    <t>CROMADO, BRANCO E PRETO</t>
  </si>
  <si>
    <t>ADICIONAL DE EMBALAGEM (TUBO DE PAPELÃO REFORÇADO)</t>
  </si>
  <si>
    <t>VALOR POR METRO</t>
  </si>
  <si>
    <t>TUBO DE PAPELÃO PEQUENO - EMBALAGEM PARA ATÉ 10 TRILHOS SIMPLES OU 3 VARÕES</t>
  </si>
  <si>
    <t>TUBO DE PAPELÃO GRANDE - EMBALAGEM PARA ATÉ 30 TRILHOS SIMPLES OU 8 VARÕES</t>
  </si>
  <si>
    <t>WAVE BOTÃO</t>
  </si>
  <si>
    <t>FAVOR INFORMAR O MODELO DE ABERTURA</t>
  </si>
  <si>
    <t>*MODELO WAVE PLUS NÃO ACOMPANHA A ENTRETELA QUE DEVE SER ADQUIRIDA SEPARADAMENTE</t>
  </si>
  <si>
    <t>*MODELO WAVE BOTÃO NÃO ACOMPANHA A FITA QUE DEVE SER ADQUIRIDA SEPARADAMENTE</t>
  </si>
  <si>
    <t>WAVE PLUS*</t>
  </si>
  <si>
    <t>WAVE BOTÃO*</t>
  </si>
  <si>
    <t>CONTROLE REMOTO DE 1 CANAL</t>
  </si>
  <si>
    <t>CONTROLE REMOTO DE 2 CANAIS</t>
  </si>
  <si>
    <t>TROCA DE CONTROLE PARA 2 CANAIS</t>
  </si>
  <si>
    <t>CURVA 90º DE PVC</t>
  </si>
  <si>
    <t>CURVATURA NO PROPRIO TRILHO ( NECESSITA MOLDE )</t>
  </si>
  <si>
    <t>ESPECIFICAÇÕES TECNICAS</t>
  </si>
  <si>
    <t>ENTRETELA WAVE PLUS (POR METRO)</t>
  </si>
  <si>
    <t>CLIPS (UNIDADE)</t>
  </si>
  <si>
    <t>VUD02</t>
  </si>
  <si>
    <t>VARÃO WAVE ULTRA DESLIZANTE 19MM</t>
  </si>
  <si>
    <t>CROMADO COM VERNIZ</t>
  </si>
  <si>
    <t>CROMADO SEM VERNIZ</t>
  </si>
  <si>
    <t>BRANCO / PRETO / DOUR. / OURO V. / OURO R.</t>
  </si>
  <si>
    <t>P056W</t>
  </si>
  <si>
    <t>PONTEIRA TAMPÃO 19MM WAVE</t>
  </si>
  <si>
    <t>BRANCO / PRETO / DOURADO /         OURO VELHO / OURO ROSE</t>
  </si>
  <si>
    <t>CORES: CROMADO C/ VERNIZ, AÇO ESCOVADO, BRANCO, PRETO,DOURADO,OURO VELHO E OURO ROSE</t>
  </si>
  <si>
    <t>RÚSTICO FLAME NACIONAL</t>
  </si>
  <si>
    <t>BOOK 13</t>
  </si>
  <si>
    <t>PIQUET 2,50 MTS</t>
  </si>
  <si>
    <t>PIQUET 1,40 MTS</t>
  </si>
  <si>
    <t>TRICO PETRA</t>
  </si>
  <si>
    <t>SHANTUNG CLASSICO LISO</t>
  </si>
  <si>
    <t>SHANTUNG MALTA</t>
  </si>
  <si>
    <t>LINHO HIMALAIA</t>
  </si>
  <si>
    <t>RUSTICO OREGON</t>
  </si>
  <si>
    <t>LINHO ÉTNA</t>
  </si>
  <si>
    <t>LINHO MANHATTAN</t>
  </si>
  <si>
    <t>LINHO ATACAMA</t>
  </si>
  <si>
    <t>CAMURÇA DUBLIN</t>
  </si>
  <si>
    <t>BOOK 14</t>
  </si>
  <si>
    <t>BOOK 15</t>
  </si>
  <si>
    <t>BLACK-OUT BRISTOL</t>
  </si>
  <si>
    <r>
      <t xml:space="preserve">SUPORTE SIMPLES SQUARE C/ ROSETA                                      </t>
    </r>
    <r>
      <rPr>
        <b/>
        <sz val="10"/>
        <rFont val="Arial"/>
        <family val="2"/>
      </rPr>
      <t xml:space="preserve">   CROMADO / BRANCO / PRETO</t>
    </r>
  </si>
  <si>
    <r>
      <t xml:space="preserve">SUPORTE ALONGADO SQUARE C/ ROSETA                                     </t>
    </r>
    <r>
      <rPr>
        <b/>
        <sz val="10"/>
        <rFont val="Arial"/>
        <family val="2"/>
      </rPr>
      <t>CROMADO / BRANCO / PRETO</t>
    </r>
  </si>
  <si>
    <r>
      <t xml:space="preserve">SUPORTE DUPLO ALONGADO SQUARE C/ ROSETA                         </t>
    </r>
    <r>
      <rPr>
        <b/>
        <sz val="10"/>
        <rFont val="Arial"/>
        <family val="2"/>
      </rPr>
      <t>CROMADO / BRANCO / PRETO</t>
    </r>
  </si>
  <si>
    <t>TERMINAL TAMPA TRILHO CURVO</t>
  </si>
  <si>
    <t>AC043</t>
  </si>
  <si>
    <r>
      <t>ABRAÇADEIRA SAX 3 MÉDIA 25CM</t>
    </r>
    <r>
      <rPr>
        <b/>
        <sz val="9"/>
        <rFont val="Arial"/>
        <family val="2"/>
      </rPr>
      <t xml:space="preserve"> (SOB CONSULTA)</t>
    </r>
  </si>
  <si>
    <r>
      <t>ABRAÇADEIRA ITÁLIA 16CM</t>
    </r>
    <r>
      <rPr>
        <b/>
        <sz val="9"/>
        <rFont val="Arial"/>
        <family val="2"/>
      </rPr>
      <t xml:space="preserve"> (SOB CONSULTA)</t>
    </r>
  </si>
  <si>
    <t>8,51 a 9,00</t>
  </si>
  <si>
    <t>1,01 a 1,50</t>
  </si>
  <si>
    <t>1,51 a 2,00</t>
  </si>
  <si>
    <t>2,01 a 2,50</t>
  </si>
  <si>
    <t>2,51 a 3,00</t>
  </si>
  <si>
    <t>3,01 a 3,50</t>
  </si>
  <si>
    <t>3,51 a 4,00</t>
  </si>
  <si>
    <t>4,01 a 4,50</t>
  </si>
  <si>
    <t>4,51 a 5,00</t>
  </si>
  <si>
    <t>5,01 a 5,50</t>
  </si>
  <si>
    <t>5,51 a 6,00</t>
  </si>
  <si>
    <t>6,01 a 6,50</t>
  </si>
  <si>
    <t>6,51 a 7,00</t>
  </si>
  <si>
    <t>7,01 a 7,50</t>
  </si>
  <si>
    <t>7,51 a 8,00</t>
  </si>
  <si>
    <t>8,01 a 8,50</t>
  </si>
  <si>
    <t>9,01 a 9,50</t>
  </si>
  <si>
    <t>9,51 a 10,00</t>
  </si>
  <si>
    <t>10,51 a 11,00</t>
  </si>
  <si>
    <t>10,01 a 10,50</t>
  </si>
  <si>
    <t>11,51 a 12,00</t>
  </si>
  <si>
    <t>11,01 a 11,50</t>
  </si>
  <si>
    <t>5 ANOS DE GARANTIA</t>
  </si>
  <si>
    <t>ACESSÓRIOS PARA MONTAGEM NA MEDIDA ESCOLHIDA INCLUSOS</t>
  </si>
  <si>
    <r>
      <t>FITA WAVE ( 2X1, 2,5X1, 3X1, 3,5X1, 4X1)  (POR METRO)</t>
    </r>
    <r>
      <rPr>
        <b/>
        <sz val="10"/>
        <rFont val="Arial"/>
        <family val="2"/>
      </rPr>
      <t xml:space="preserve"> (BRANCO, BEGE, KAKI,CINZA, PRETO)</t>
    </r>
  </si>
  <si>
    <t>CONTROLE REMOTO DE 15 CANAIS</t>
  </si>
  <si>
    <t>TRILHOS ACIMA DE 6MTS SERÁ ENVIADO COM EMENDA NO TRILHO (EMENDA INCLUSA)</t>
  </si>
  <si>
    <t>-MOTOR BIVOLT COM 2NM
-CARREGA ATÉ 100KG COM 2 METROS DE TRILHO E 45KG COM 12 METROS DE TRILHO
-WIFI, RF 433,92 MHZ E CONTATO LÓGICO
-APLICATIVO DISPONÍVEL PARA SMARTPHONE ANDROID E IOS
-MOTOR SILENCIOSO, RODÍZIOS COM RODAS PARA MENOR ATRITO NO TRILHO
-CONEXÃO PARA AUTOMAÇÃO COM CONTROLE POR VOZ (ALEXA E GOOGLE ASSISTENTE)
-FIM DE CURSO SUAVE
-ACIONAMENTO AUTOMÁTICO AO PUXAR A CORTINA</t>
  </si>
  <si>
    <t>TRILHO MOTORIZADO NA COR BRANCA/PRETA COM CONTROLE DE 1 CANAL</t>
  </si>
  <si>
    <t>--MODELO WAVE PLUS NÃO ACOMPANHA A ENTRETELA QUE DEVE SER ADQUIRIDA SEPARADAMENTE
-PRAZO DE ENTREGA: 7 DIAS PARA VARÕES NOVOS E 5 DIAS PARA CONSERTO
-FAVOR INFORMAR A ALTURA DO COMANDO DAS CORDAS E O MODELO DE ABERTURA</t>
  </si>
  <si>
    <t>VARÃO PRIME MONTADO COM ACIONAMENTO</t>
  </si>
  <si>
    <t>VARÃO PRIME MONTADO SEM ACIONAMENTO</t>
  </si>
  <si>
    <t>TRILHO SLIM MONTADO COM ACIONAMENTO NO MODELO COM ABA OU COM PRESILHA</t>
  </si>
  <si>
    <t>TRILHO SLIM MONTADO SEM ACIONAMENTO NO MODELO COM ABA OU COM PRESILHA</t>
  </si>
  <si>
    <t>VARÃO UNIC 19MM MONTADO COM ACIONAMENTO</t>
  </si>
  <si>
    <t>VARÃO UNIC 19MM MONTADO SEM ACIONAMENTO</t>
  </si>
  <si>
    <t>TELA RAVENNA</t>
  </si>
  <si>
    <t>TELA BELIZE</t>
  </si>
  <si>
    <t>RÚSTICO LÍBIA</t>
  </si>
  <si>
    <t>*10043</t>
  </si>
  <si>
    <t>*10005</t>
  </si>
  <si>
    <t>LINHO ELITE (PROMOCIONAL)</t>
  </si>
  <si>
    <t>TRICÔ HÓRUS (PROMOCIONAL) (CORES 02,04,06 FORA DE LINHA)</t>
  </si>
  <si>
    <t>LINHO NICARÁGUA</t>
  </si>
  <si>
    <t>*10018</t>
  </si>
  <si>
    <t>SHANTUNG SELENE (PROMOCIONAL)</t>
  </si>
  <si>
    <t>*10022</t>
  </si>
  <si>
    <t>*10025</t>
  </si>
  <si>
    <t>*10027</t>
  </si>
  <si>
    <t>*10028</t>
  </si>
  <si>
    <t>ARRASTÃO ZELO (PROMOCIONAL)</t>
  </si>
  <si>
    <t>ARRASTÃO HIPNOS (PROMOCIONAL)</t>
  </si>
  <si>
    <t>LINHO HEBE (PROMOCIONAL)</t>
  </si>
  <si>
    <t>LINHO ANTEROS (PROMOCIONAL)</t>
  </si>
  <si>
    <r>
      <t xml:space="preserve">RUSTICO SAVANA </t>
    </r>
    <r>
      <rPr>
        <b/>
        <sz val="10"/>
        <rFont val="Arial"/>
        <family val="2"/>
      </rPr>
      <t xml:space="preserve"> (CORES 03 E 04 FORA DE LINHA)</t>
    </r>
  </si>
  <si>
    <t>RUSTICO FLAME NATURAL</t>
  </si>
  <si>
    <t>RUSTICO FLAME LIGHT</t>
  </si>
  <si>
    <t>RUSTICO FLAME</t>
  </si>
  <si>
    <t>RUSTICO FLAME PRIME</t>
  </si>
  <si>
    <t>TRICO CEARÁ</t>
  </si>
  <si>
    <t>RUSTICO SINTÉTICO XADREZ</t>
  </si>
  <si>
    <t>LINHO CANNES</t>
  </si>
  <si>
    <t>GAZE DE LINHO</t>
  </si>
  <si>
    <t>RÚSTICO ARIZONA</t>
  </si>
  <si>
    <t>GAZE COSTA RICA</t>
  </si>
  <si>
    <t>VOIL NEVADA</t>
  </si>
  <si>
    <t>VOIL CHIFFON VIENA</t>
  </si>
  <si>
    <t>RUSTICO HAVANA</t>
  </si>
  <si>
    <t>*12042</t>
  </si>
  <si>
    <t>*12043</t>
  </si>
  <si>
    <t>VOIL DALLAS (PROMOCIONAL)</t>
  </si>
  <si>
    <t>VOIL MONTREAL (PROMOCIONAL)</t>
  </si>
  <si>
    <t>VOIL DETROIT</t>
  </si>
  <si>
    <t>VOIL CRISTAL</t>
  </si>
  <si>
    <t>VOIL SUIÇO</t>
  </si>
  <si>
    <t>VOIL SUPER</t>
  </si>
  <si>
    <t>*12032</t>
  </si>
  <si>
    <t>VOIL VERMONT (PROMOCIONAL)</t>
  </si>
  <si>
    <t>*12023</t>
  </si>
  <si>
    <t>TAFETÁ LAS VEGAS (PROMOCIONAL)</t>
  </si>
  <si>
    <t>*12019</t>
  </si>
  <si>
    <t>LINHO KALAHARI  (PROMOCIONAL)</t>
  </si>
  <si>
    <t>*12017</t>
  </si>
  <si>
    <t>LINHO ISTAMBUL (PROMOCIONAL)</t>
  </si>
  <si>
    <t>*13002</t>
  </si>
  <si>
    <t>LINHO VILA REAL (PROMOCIONAL)</t>
  </si>
  <si>
    <t>JACQUARD CATAR (PROMOCIONAL)</t>
  </si>
  <si>
    <t>TRICO HORUS (PROMOCIONAL)</t>
  </si>
  <si>
    <t>JACQUARD JAIPUR (PROMOCIONAL)</t>
  </si>
  <si>
    <t>JACQUARD ESTOCOMO (PROMOCIONAL)</t>
  </si>
  <si>
    <t>SEDA BALI LISO (PROMOCIONAL)</t>
  </si>
  <si>
    <t>*13003</t>
  </si>
  <si>
    <t>*13004</t>
  </si>
  <si>
    <t>*13005</t>
  </si>
  <si>
    <t>*13006</t>
  </si>
  <si>
    <t>*13007</t>
  </si>
  <si>
    <t>*13008</t>
  </si>
  <si>
    <t>*13012</t>
  </si>
  <si>
    <t>*13013</t>
  </si>
  <si>
    <t>VOIL FUJI (PROMOCIONAL)</t>
  </si>
  <si>
    <t>VOIL TÓQUIO (PROMOCIONAL)</t>
  </si>
  <si>
    <t>*13017</t>
  </si>
  <si>
    <t>*13018</t>
  </si>
  <si>
    <t>*13019</t>
  </si>
  <si>
    <t>*13020</t>
  </si>
  <si>
    <t>*13023</t>
  </si>
  <si>
    <t>LINHO SAFIRA (PROMOCIONAL)</t>
  </si>
  <si>
    <t>LINHO ORIENTAL (PROMOCIONAL)</t>
  </si>
  <si>
    <t>LINHO COLISEU (PROMOCIONAL)</t>
  </si>
  <si>
    <t>LINHO DACAR (PROMOCIONAL)</t>
  </si>
  <si>
    <t>LINHO IBIZA (PROMOCIONAL)</t>
  </si>
  <si>
    <t>*13025</t>
  </si>
  <si>
    <t>*13026</t>
  </si>
  <si>
    <t>*13027</t>
  </si>
  <si>
    <t>*13028</t>
  </si>
  <si>
    <t>*13029</t>
  </si>
  <si>
    <t>*13030</t>
  </si>
  <si>
    <t>LINHO SENEGAL (PROMOCIONAL)</t>
  </si>
  <si>
    <t>VOIL BELGICA (PROMOCIONAL)</t>
  </si>
  <si>
    <t>SHANTUNG MIAMI (PROMOCIONAL)</t>
  </si>
  <si>
    <t>SHANTUNG EVEREST (PROMOCIONAL)</t>
  </si>
  <si>
    <t>SHANTUNG VILLAGE (PROMOCIONAL)</t>
  </si>
  <si>
    <t>SHANTUNG CLASSICO LISTRADO (PROMOCIONAL)</t>
  </si>
  <si>
    <t>TELA PICASSO</t>
  </si>
  <si>
    <t>VOIL TRICO</t>
  </si>
  <si>
    <t>VOIL LINHO EGITO</t>
  </si>
  <si>
    <t>VOIL DAMASCO</t>
  </si>
  <si>
    <t>VOIL LUXOR</t>
  </si>
  <si>
    <t>VOIL LEDA RUSTICO</t>
  </si>
  <si>
    <t>VOIL LEDA</t>
  </si>
  <si>
    <t>VOIL GAZE DE LINHO</t>
  </si>
  <si>
    <t>VOIL LINHO NATURE</t>
  </si>
  <si>
    <t>VOIL SHANTUNG LINEN</t>
  </si>
  <si>
    <t>VOIL PERSA</t>
  </si>
  <si>
    <t>VOIL DOLLY</t>
  </si>
  <si>
    <t>VOIL CHIFFON LISO</t>
  </si>
  <si>
    <t>VOIL CROSS</t>
  </si>
  <si>
    <t>VOIL SUISSO</t>
  </si>
  <si>
    <t>VOL TAFETA</t>
  </si>
  <si>
    <t>BLACK-OUT SUPERBLACK ZEUS</t>
  </si>
  <si>
    <t>BLACK-OUT SUPERBLACK AFRODITE</t>
  </si>
  <si>
    <t>BLACK-OUT SUPERBLACK LISO</t>
  </si>
  <si>
    <t>BLACK-OUT SUPERBLACK TAFETA</t>
  </si>
  <si>
    <t>BLACK-OUT TECIDO PETRA</t>
  </si>
  <si>
    <t>BLACK-OUT TECIDO RUSTICO</t>
  </si>
  <si>
    <t>BLACK-OUT TECIDO SHANTUNG</t>
  </si>
  <si>
    <t>BLACK-OUT TECIDO CAIRO</t>
  </si>
  <si>
    <t>BLACK-OUT TECIDO 2,80L</t>
  </si>
  <si>
    <t>MICROFIBRA 100G 3,00L</t>
  </si>
  <si>
    <t>MICROFIBRA 65G 3,00L</t>
  </si>
  <si>
    <t>MICROFIBRA 65G 2,80L</t>
  </si>
  <si>
    <t>BLACK-OUT DUBLIN</t>
  </si>
  <si>
    <t>FORRO MICROFIBRA PRIME</t>
  </si>
  <si>
    <t>FORRO MICROFIBRA 3,00 MTS</t>
  </si>
  <si>
    <t>FORRO MICROFIBRA 2,80 MTS</t>
  </si>
  <si>
    <t>BLACK-OUT TECIDO 3,00 MTS</t>
  </si>
  <si>
    <t>BLACK-OUT MALI LIGHT</t>
  </si>
  <si>
    <t>BLACK-OUT ATACAMA</t>
  </si>
  <si>
    <t>BLACK-OUT TECIDO 2,80 MTS</t>
  </si>
  <si>
    <t>FORRO MICROFIBRA PELETIZADA CLASSIC</t>
  </si>
  <si>
    <t>BLACK-OUT BASIC</t>
  </si>
  <si>
    <t>BLACK-OUT SUPER BLACK LISO PRETO</t>
  </si>
  <si>
    <t>BOOK 16</t>
  </si>
  <si>
    <t>GRANADO</t>
  </si>
  <si>
    <t>GRANITÉ</t>
  </si>
  <si>
    <t>MALAGA</t>
  </si>
  <si>
    <t>BRISTOL</t>
  </si>
  <si>
    <t>PANAMA</t>
  </si>
  <si>
    <t>JACQUARD FLAME</t>
  </si>
  <si>
    <t>JACQUARD PÔA</t>
  </si>
  <si>
    <t>JACQUARD BRISA</t>
  </si>
  <si>
    <r>
      <t>VOIL LISO NACIONAL</t>
    </r>
    <r>
      <rPr>
        <b/>
        <sz val="11"/>
        <rFont val="Arial"/>
        <family val="2"/>
      </rPr>
      <t xml:space="preserve"> (SOMENTE CORES 11-12-16-17-18-21-33-38)</t>
    </r>
  </si>
  <si>
    <r>
      <t>MALHA JERSEY BRASS</t>
    </r>
    <r>
      <rPr>
        <b/>
        <sz val="11"/>
        <rFont val="Arial"/>
        <family val="2"/>
      </rPr>
      <t xml:space="preserve"> (PROMOCIONAL NAS CORES: 07-10-11-22)</t>
    </r>
  </si>
  <si>
    <r>
      <t>MALHA JERSEY BRASS</t>
    </r>
    <r>
      <rPr>
        <b/>
        <sz val="11"/>
        <rFont val="Arial"/>
        <family val="2"/>
      </rPr>
      <t xml:space="preserve"> (CORES: 01-05-06-08-09-15-16-19-21-25-27-31-32-35)</t>
    </r>
  </si>
  <si>
    <r>
      <t>VOIL NAGOIA</t>
    </r>
    <r>
      <rPr>
        <b/>
        <sz val="11"/>
        <rFont val="Arial"/>
        <family val="2"/>
      </rPr>
      <t xml:space="preserve"> (SOMENTE COR 03)</t>
    </r>
  </si>
  <si>
    <r>
      <t>VOIL SENDAI</t>
    </r>
    <r>
      <rPr>
        <b/>
        <sz val="11"/>
        <rFont val="Arial"/>
        <family val="2"/>
      </rPr>
      <t xml:space="preserve"> (SOMENTE COR 01 E COR 03)</t>
    </r>
  </si>
  <si>
    <r>
      <t xml:space="preserve">VOIL DENVER AMASSADO </t>
    </r>
    <r>
      <rPr>
        <b/>
        <sz val="11"/>
        <rFont val="Arial"/>
        <family val="2"/>
      </rPr>
      <t>(SOMENTE COR 01)</t>
    </r>
  </si>
  <si>
    <t>6001-01</t>
  </si>
  <si>
    <t>6019-02</t>
  </si>
  <si>
    <t>6020-02</t>
  </si>
  <si>
    <t>6023-01</t>
  </si>
  <si>
    <r>
      <t>VOIL LISO</t>
    </r>
    <r>
      <rPr>
        <b/>
        <sz val="10"/>
        <rFont val="Arial"/>
        <family val="2"/>
      </rPr>
      <t xml:space="preserve"> (SOB CONSULTA NAS CORES: 10-11-15-16-17-20-32-34)</t>
    </r>
  </si>
  <si>
    <r>
      <t xml:space="preserve">GORGURINHO </t>
    </r>
    <r>
      <rPr>
        <b/>
        <sz val="10"/>
        <rFont val="Arial"/>
        <family val="2"/>
      </rPr>
      <t>(CORES 04-05-09-10-11-16)</t>
    </r>
  </si>
  <si>
    <r>
      <t xml:space="preserve">OXFORD </t>
    </r>
    <r>
      <rPr>
        <b/>
        <sz val="10"/>
        <rFont val="Arial"/>
        <family val="2"/>
      </rPr>
      <t>(CORES 03-04-07-08-10)</t>
    </r>
  </si>
  <si>
    <r>
      <t xml:space="preserve">SARJA </t>
    </r>
    <r>
      <rPr>
        <b/>
        <sz val="10"/>
        <rFont val="Arial"/>
        <family val="2"/>
      </rPr>
      <t>(CORES 04-05-09-10-11-12-13-16)</t>
    </r>
  </si>
  <si>
    <r>
      <t xml:space="preserve">CETIM LISO </t>
    </r>
    <r>
      <rPr>
        <b/>
        <sz val="10"/>
        <rFont val="Arial"/>
        <family val="2"/>
      </rPr>
      <t>(CORES 03-05-06-08-09-10-12-13-14)</t>
    </r>
  </si>
  <si>
    <t>TRICÔ HERA (PROMOCIONAL)</t>
  </si>
  <si>
    <t>*10001</t>
  </si>
  <si>
    <t>LINHO PAPIRO (PROMOCIONAL)</t>
  </si>
  <si>
    <t>*10009</t>
  </si>
  <si>
    <t>LINHO NOBRE (PROMOCIONAL)</t>
  </si>
  <si>
    <t>*10010</t>
  </si>
  <si>
    <t>*10011</t>
  </si>
  <si>
    <t>*10012</t>
  </si>
  <si>
    <t>LINHO HADES (PROMOCIONAL)</t>
  </si>
  <si>
    <t>LINHO HERMES (PROMOCIONAL)</t>
  </si>
  <si>
    <t>*10013</t>
  </si>
  <si>
    <t>LINHO CALABRIA (PROMOCIONAL)</t>
  </si>
  <si>
    <t>*13000</t>
  </si>
  <si>
    <t>LINHO ARGEL (PROMOCIONAL)</t>
  </si>
  <si>
    <t>*10015</t>
  </si>
  <si>
    <t>LINHO NIAGARA</t>
  </si>
  <si>
    <t>TECIDOS PROMOCIONAIS - SOB CONSULTA</t>
  </si>
  <si>
    <t>TRICÔ ARES</t>
  </si>
  <si>
    <t>TRICÔ HÉSTIA</t>
  </si>
  <si>
    <t>LINHO EGITO</t>
  </si>
  <si>
    <t>LINHO ATENAS</t>
  </si>
  <si>
    <t>ARRASTÃO AQUILES</t>
  </si>
  <si>
    <t>ARRASTÃO ZEUS</t>
  </si>
  <si>
    <t>ARRASTÃO AFRODITE</t>
  </si>
  <si>
    <t>LINHO SIRIA</t>
  </si>
  <si>
    <t>LINHO ÉDIPO</t>
  </si>
  <si>
    <t>RUSTICO SIBÉRIA</t>
  </si>
  <si>
    <t>RUSTICO ALASCA</t>
  </si>
  <si>
    <t>TELA RÚSTICA</t>
  </si>
  <si>
    <t>SHANTUNG IMPERIAL</t>
  </si>
  <si>
    <t>TAFETA FLAME LISTRADO</t>
  </si>
  <si>
    <t>VOIL ALPES</t>
  </si>
  <si>
    <t>SUPORTE SIMPLES 19MM (JOGO COM PONTEIRAS)</t>
  </si>
  <si>
    <t>SUPORTE SIMPLES 28MM (JOGO COM PONTEIRAS)</t>
  </si>
  <si>
    <t>SUPORTE DUPLO 19/19MM (JOGO COM PONTEIRAS)</t>
  </si>
  <si>
    <t>SUPORTE DUPLO 19/28MM (JOGO COM PONTEIRAS)</t>
  </si>
  <si>
    <t>FLANGE ABERTA 19MM (JOGO COM PONTEIRAS)</t>
  </si>
  <si>
    <t>FLANGE ABERTA 28MM (JOGO COM PONTEIRAS)</t>
  </si>
  <si>
    <t>VARÕES (PREÇO POR BARRA)</t>
  </si>
  <si>
    <t>TRILHOS (PREÇO POR BARRA)</t>
  </si>
  <si>
    <t>ENTRETELA TNT 10CM BRANCO / PRETO</t>
  </si>
  <si>
    <t>ENTRETELA FLORENCE 20 CM BRANCO / BEGE</t>
  </si>
  <si>
    <t>ENTRETELA FLORENCE 12 CM BRANCO / BEGE</t>
  </si>
  <si>
    <t>ENTRETELA FLORENCE 10 CM BRANCO / BEGE</t>
  </si>
  <si>
    <t>ENTRETELA FLORENCE 08 CM BRANCO / BEGE</t>
  </si>
  <si>
    <t>ENTRETELA WAVE PLUS</t>
  </si>
  <si>
    <t>ENTRETELA TNT 200G COM 10CM BRANCO</t>
  </si>
  <si>
    <t>TNT200</t>
  </si>
  <si>
    <t>ABTF</t>
  </si>
  <si>
    <r>
      <t xml:space="preserve">ABRAÇADEIRA TIFFANY </t>
    </r>
    <r>
      <rPr>
        <b/>
        <sz val="9"/>
        <rFont val="Arial"/>
        <family val="2"/>
      </rPr>
      <t>(LANÇAMENTO)</t>
    </r>
  </si>
  <si>
    <t>ABT</t>
  </si>
  <si>
    <r>
      <t>ABRAÇADEIRA TRANÇADA</t>
    </r>
    <r>
      <rPr>
        <b/>
        <sz val="9"/>
        <rFont val="Arial"/>
        <family val="2"/>
      </rPr>
      <t xml:space="preserve"> (LANÇAMENTO)</t>
    </r>
  </si>
  <si>
    <t>ABR</t>
  </si>
  <si>
    <r>
      <t xml:space="preserve">ABRAÇADEIRA ROMA EXCLUSIVE </t>
    </r>
    <r>
      <rPr>
        <b/>
        <sz val="9"/>
        <rFont val="Arial"/>
        <family val="2"/>
      </rPr>
      <t>(LANÇAMENTO)</t>
    </r>
  </si>
  <si>
    <r>
      <t xml:space="preserve">PINGENTE CIGAR </t>
    </r>
    <r>
      <rPr>
        <b/>
        <sz val="9"/>
        <rFont val="Arial"/>
        <family val="2"/>
      </rPr>
      <t>(LANÇAMENTO)</t>
    </r>
  </si>
  <si>
    <r>
      <t xml:space="preserve">PINGENTE INFINITY lll </t>
    </r>
    <r>
      <rPr>
        <b/>
        <sz val="9"/>
        <rFont val="Arial"/>
        <family val="2"/>
      </rPr>
      <t>(LANÇAMENTO)</t>
    </r>
  </si>
  <si>
    <r>
      <t xml:space="preserve">PINGENTE GRAVATINHA </t>
    </r>
    <r>
      <rPr>
        <b/>
        <sz val="9"/>
        <rFont val="Arial"/>
        <family val="2"/>
      </rPr>
      <t>(LANÇAMENTO)</t>
    </r>
  </si>
  <si>
    <r>
      <t>PINGENTE KIEV DUPLO</t>
    </r>
    <r>
      <rPr>
        <b/>
        <sz val="9"/>
        <rFont val="Arial"/>
        <family val="2"/>
      </rPr>
      <t xml:space="preserve"> (LANÇAMENTO)</t>
    </r>
  </si>
  <si>
    <r>
      <t>PINGENTE JAKARTA COURO</t>
    </r>
    <r>
      <rPr>
        <b/>
        <sz val="9"/>
        <rFont val="Arial"/>
        <family val="2"/>
      </rPr>
      <t xml:space="preserve"> (LANÇAMENTO)</t>
    </r>
  </si>
  <si>
    <t>ABRAÇADEIRA IMA PLUS</t>
  </si>
  <si>
    <t>200+F</t>
  </si>
  <si>
    <t>ABRAÇADEIRA IMA PLUS (FIO)</t>
  </si>
  <si>
    <t>ABRAÇADEIRA IMA SLIM</t>
  </si>
  <si>
    <t>200F</t>
  </si>
  <si>
    <t>ABRAÇADEIRA IMA SLIM (FIO)</t>
  </si>
  <si>
    <t>BM001</t>
  </si>
  <si>
    <t>ABRAÇADEIRA MANDALA C/ IMA</t>
  </si>
  <si>
    <t>EMPIRE SIX - LINHA INFINITY</t>
  </si>
  <si>
    <t>INFINITY QUADRADO</t>
  </si>
  <si>
    <t>INFINITY REDONDO</t>
  </si>
  <si>
    <t>PINGENTE ARANDA</t>
  </si>
  <si>
    <t>PINGENTE CROCHE</t>
  </si>
  <si>
    <t>PINGENTE DUPLO STRASS</t>
  </si>
  <si>
    <t>PINGENTE INDIVIDUAL OLIMPIA</t>
  </si>
  <si>
    <t>PINGENTE VIENA BOLA</t>
  </si>
  <si>
    <t>ABRAÇADEIRAS E PINGENTES</t>
  </si>
  <si>
    <t>PROMOCIONAIS</t>
  </si>
  <si>
    <t>B301</t>
  </si>
  <si>
    <t>BRAÇADEIRA RUSTIC</t>
  </si>
  <si>
    <t>B304</t>
  </si>
  <si>
    <t>BRAÇADEIRA PEQUIM</t>
  </si>
  <si>
    <t>BP307</t>
  </si>
  <si>
    <t>BRAÇADEIRA BISOTE ACRÍLICO</t>
  </si>
  <si>
    <t>BP308</t>
  </si>
  <si>
    <t>BRAÇADEIRA BOLA ACRÍLICO</t>
  </si>
  <si>
    <t>BP309</t>
  </si>
  <si>
    <t>BRAÇADEIRA BOLA MESCLA ACRÍLICO</t>
  </si>
  <si>
    <t>BC011</t>
  </si>
  <si>
    <t>BRAÇADEIRA BISOTE CRISTAL</t>
  </si>
  <si>
    <t>BC012</t>
  </si>
  <si>
    <t>BRAÇADEIRA CUBO CRISTAL</t>
  </si>
  <si>
    <t>BCA013</t>
  </si>
  <si>
    <t>BRAÇADEIRA CUBO ACRÍLICO PRETO</t>
  </si>
  <si>
    <t>BCR022</t>
  </si>
  <si>
    <t>BRAÇADEIRA COCO RÚSTIC</t>
  </si>
  <si>
    <t>BSM014</t>
  </si>
  <si>
    <t>BRAÇADEIRA STRASS MICHELA</t>
  </si>
  <si>
    <t>BSR015</t>
  </si>
  <si>
    <t>BRAÇADEIRA STRASS RETANGULAR</t>
  </si>
  <si>
    <t>BSA016</t>
  </si>
  <si>
    <t>BRAÇADEIRA STRASS ANEL</t>
  </si>
  <si>
    <t>BSA017</t>
  </si>
  <si>
    <t>BRAÇADEIRA STRASS AMSTERDAN</t>
  </si>
  <si>
    <t>BSJ018</t>
  </si>
  <si>
    <t>BRAÇADEIRA STRASS JULIANA</t>
  </si>
  <si>
    <t>BSU019</t>
  </si>
  <si>
    <t>BRAÇADEIRA STRASS UNIC</t>
  </si>
  <si>
    <t>BCU020</t>
  </si>
  <si>
    <t>BRAÇADEIRA COURO UNIC</t>
  </si>
  <si>
    <t>BCO021</t>
  </si>
  <si>
    <t>BRAÇADEIRA ONÇA UNIC</t>
  </si>
  <si>
    <t>SETEMBRO - 2024</t>
  </si>
  <si>
    <t>TELA PEQUIM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</si>
</sst>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#,##0.00_ ;\-#,##0.00\ 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sz val="10"/>
      <name val="BankGothic Md BT"/>
      <family val="2"/>
    </font>
    <font>
      <sz val="14"/>
      <color theme="1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6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26"/>
      <name val="Arial"/>
      <family val="2"/>
    </font>
    <font>
      <sz val="10"/>
      <name val="Arial"/>
      <family val="2"/>
    </font>
    <font>
      <b/>
      <sz val="100"/>
      <name val="Arial"/>
      <family val="2"/>
    </font>
    <font>
      <b/>
      <sz val="3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4"/>
      <name val="BankGothic Md BT"/>
      <family val="2"/>
    </font>
    <font>
      <b/>
      <sz val="13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22"/>
      <name val="Arial"/>
      <family val="2"/>
    </font>
    <font>
      <b/>
      <sz val="10"/>
      <color theme="1"/>
      <name val="Arial"/>
      <family val="2"/>
    </font>
    <font>
      <sz val="15"/>
      <name val="Arial"/>
      <family val="2"/>
    </font>
    <font>
      <b/>
      <sz val="18"/>
      <name val="Arial"/>
      <family val="2"/>
    </font>
    <font>
      <sz val="18"/>
      <name val="BankGothic Md BT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20"/>
      <name val="BankGothic Md BT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9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820">
    <xf numFmtId="0" fontId="0" fillId="0" borderId="0" xfId="0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3" borderId="0" xfId="0" applyFill="1"/>
    <xf numFmtId="0" fontId="4" fillId="3" borderId="0" xfId="0" applyFont="1" applyFill="1"/>
    <xf numFmtId="2" fontId="6" fillId="3" borderId="0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9" fillId="3" borderId="0" xfId="0" applyFont="1" applyFill="1"/>
    <xf numFmtId="0" fontId="10" fillId="0" borderId="0" xfId="0" applyFont="1"/>
    <xf numFmtId="0" fontId="10" fillId="3" borderId="0" xfId="0" applyFont="1" applyFill="1"/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/>
    <xf numFmtId="0" fontId="15" fillId="3" borderId="0" xfId="0" applyFont="1" applyFill="1" applyAlignment="1">
      <alignment vertical="center"/>
    </xf>
    <xf numFmtId="0" fontId="11" fillId="3" borderId="15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17" fillId="0" borderId="0" xfId="0" applyFont="1"/>
    <xf numFmtId="10" fontId="18" fillId="0" borderId="0" xfId="0" applyNumberFormat="1" applyFont="1" applyAlignment="1">
      <alignment vertical="center"/>
    </xf>
    <xf numFmtId="49" fontId="19" fillId="0" borderId="0" xfId="0" applyNumberFormat="1" applyFont="1" applyAlignment="1">
      <alignment vertical="center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2" fontId="3" fillId="3" borderId="4" xfId="0" quotePrefix="1" applyNumberFormat="1" applyFont="1" applyFill="1" applyBorder="1" applyAlignment="1">
      <alignment horizontal="center" vertical="center"/>
    </xf>
    <xf numFmtId="2" fontId="23" fillId="3" borderId="2" xfId="0" quotePrefix="1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2" fontId="23" fillId="3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/>
    </xf>
    <xf numFmtId="2" fontId="25" fillId="3" borderId="3" xfId="0" applyNumberFormat="1" applyFont="1" applyFill="1" applyBorder="1" applyAlignment="1">
      <alignment horizontal="center" vertical="center"/>
    </xf>
    <xf numFmtId="2" fontId="24" fillId="3" borderId="3" xfId="0" applyNumberFormat="1" applyFont="1" applyFill="1" applyBorder="1" applyAlignment="1">
      <alignment horizontal="center" vertical="center"/>
    </xf>
    <xf numFmtId="2" fontId="25" fillId="3" borderId="4" xfId="0" applyNumberFormat="1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2" fontId="25" fillId="3" borderId="3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2" fillId="3" borderId="3" xfId="0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" fillId="3" borderId="0" xfId="0" applyFont="1" applyFill="1"/>
    <xf numFmtId="0" fontId="25" fillId="0" borderId="0" xfId="0" applyFont="1"/>
    <xf numFmtId="2" fontId="25" fillId="0" borderId="0" xfId="0" applyNumberFormat="1" applyFont="1"/>
    <xf numFmtId="2" fontId="25" fillId="3" borderId="10" xfId="0" applyNumberFormat="1" applyFont="1" applyFill="1" applyBorder="1" applyAlignment="1">
      <alignment horizontal="center" vertical="center"/>
    </xf>
    <xf numFmtId="0" fontId="29" fillId="0" borderId="0" xfId="0" applyFont="1"/>
    <xf numFmtId="2" fontId="25" fillId="3" borderId="2" xfId="0" applyNumberFormat="1" applyFont="1" applyFill="1" applyBorder="1" applyAlignment="1">
      <alignment horizontal="center" vertical="center"/>
    </xf>
    <xf numFmtId="2" fontId="25" fillId="3" borderId="8" xfId="0" applyNumberFormat="1" applyFont="1" applyFill="1" applyBorder="1" applyAlignment="1">
      <alignment horizontal="center" vertical="center"/>
    </xf>
    <xf numFmtId="0" fontId="31" fillId="3" borderId="0" xfId="0" applyFont="1" applyFill="1" applyAlignment="1">
      <alignment vertical="center"/>
    </xf>
    <xf numFmtId="49" fontId="2" fillId="3" borderId="2" xfId="0" applyNumberFormat="1" applyFont="1" applyFill="1" applyBorder="1" applyAlignment="1">
      <alignment horizontal="center" vertical="center"/>
    </xf>
    <xf numFmtId="2" fontId="2" fillId="3" borderId="4" xfId="1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 shrinkToFit="1"/>
    </xf>
    <xf numFmtId="2" fontId="2" fillId="3" borderId="11" xfId="2" applyNumberFormat="1" applyFont="1" applyFill="1" applyBorder="1" applyAlignment="1">
      <alignment horizontal="center" vertical="center"/>
    </xf>
    <xf numFmtId="2" fontId="2" fillId="3" borderId="3" xfId="2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shrinkToFit="1"/>
    </xf>
    <xf numFmtId="2" fontId="2" fillId="3" borderId="0" xfId="1" applyNumberFormat="1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31" fillId="0" borderId="0" xfId="0" applyFont="1"/>
    <xf numFmtId="49" fontId="22" fillId="3" borderId="2" xfId="0" applyNumberFormat="1" applyFont="1" applyFill="1" applyBorder="1" applyAlignment="1">
      <alignment horizontal="center" vertical="center"/>
    </xf>
    <xf numFmtId="49" fontId="22" fillId="3" borderId="3" xfId="0" applyNumberFormat="1" applyFont="1" applyFill="1" applyBorder="1" applyAlignment="1">
      <alignment horizontal="center" vertical="center"/>
    </xf>
    <xf numFmtId="2" fontId="22" fillId="3" borderId="4" xfId="1" applyNumberFormat="1" applyFont="1" applyFill="1" applyBorder="1" applyAlignment="1">
      <alignment horizontal="center" vertical="center"/>
    </xf>
    <xf numFmtId="0" fontId="22" fillId="0" borderId="0" xfId="0" applyFont="1"/>
    <xf numFmtId="0" fontId="21" fillId="3" borderId="0" xfId="0" applyFont="1" applyFill="1" applyAlignment="1">
      <alignment vertical="center"/>
    </xf>
    <xf numFmtId="2" fontId="22" fillId="3" borderId="13" xfId="1" applyNumberFormat="1" applyFont="1" applyFill="1" applyBorder="1" applyAlignment="1">
      <alignment horizontal="center" vertical="center"/>
    </xf>
    <xf numFmtId="2" fontId="22" fillId="3" borderId="13" xfId="1" applyNumberFormat="1" applyFont="1" applyFill="1" applyBorder="1" applyAlignment="1">
      <alignment horizontal="center" vertical="center" shrinkToFit="1"/>
    </xf>
    <xf numFmtId="2" fontId="22" fillId="3" borderId="13" xfId="0" applyNumberFormat="1" applyFont="1" applyFill="1" applyBorder="1" applyAlignment="1">
      <alignment horizontal="center" vertical="center"/>
    </xf>
    <xf numFmtId="0" fontId="22" fillId="3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35" fillId="3" borderId="3" xfId="1" quotePrefix="1" applyNumberFormat="1" applyFont="1" applyFill="1" applyBorder="1" applyAlignment="1">
      <alignment horizontal="center" vertical="center"/>
    </xf>
    <xf numFmtId="2" fontId="35" fillId="3" borderId="4" xfId="1" quotePrefix="1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shrinkToFit="1"/>
    </xf>
    <xf numFmtId="2" fontId="35" fillId="3" borderId="3" xfId="0" quotePrefix="1" applyNumberFormat="1" applyFont="1" applyFill="1" applyBorder="1" applyAlignment="1">
      <alignment horizontal="center" vertical="center" shrinkToFit="1"/>
    </xf>
    <xf numFmtId="2" fontId="35" fillId="3" borderId="4" xfId="0" quotePrefix="1" applyNumberFormat="1" applyFont="1" applyFill="1" applyBorder="1" applyAlignment="1">
      <alignment horizontal="center" vertical="center" shrinkToFit="1"/>
    </xf>
    <xf numFmtId="2" fontId="35" fillId="3" borderId="3" xfId="0" quotePrefix="1" applyNumberFormat="1" applyFont="1" applyFill="1" applyBorder="1" applyAlignment="1">
      <alignment horizontal="center" vertical="center"/>
    </xf>
    <xf numFmtId="2" fontId="35" fillId="3" borderId="4" xfId="0" quotePrefix="1" applyNumberFormat="1" applyFont="1" applyFill="1" applyBorder="1" applyAlignment="1">
      <alignment horizontal="center" vertical="center"/>
    </xf>
    <xf numFmtId="2" fontId="36" fillId="3" borderId="0" xfId="0" applyNumberFormat="1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36" fillId="3" borderId="0" xfId="0" applyFont="1" applyFill="1"/>
    <xf numFmtId="0" fontId="36" fillId="0" borderId="0" xfId="0" applyFont="1"/>
    <xf numFmtId="0" fontId="22" fillId="3" borderId="3" xfId="0" applyFont="1" applyFill="1" applyBorder="1" applyAlignment="1">
      <alignment horizontal="left" vertical="center" wrapText="1"/>
    </xf>
    <xf numFmtId="2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2" fillId="3" borderId="0" xfId="0" applyFont="1" applyFill="1" applyAlignment="1">
      <alignment horizontal="center"/>
    </xf>
    <xf numFmtId="2" fontId="22" fillId="3" borderId="2" xfId="0" applyNumberFormat="1" applyFont="1" applyFill="1" applyBorder="1" applyAlignment="1">
      <alignment horizontal="center" vertical="center"/>
    </xf>
    <xf numFmtId="2" fontId="22" fillId="3" borderId="2" xfId="1" applyNumberFormat="1" applyFont="1" applyFill="1" applyBorder="1" applyAlignment="1">
      <alignment horizontal="center" vertical="center"/>
    </xf>
    <xf numFmtId="2" fontId="22" fillId="3" borderId="3" xfId="1" quotePrefix="1" applyNumberFormat="1" applyFont="1" applyFill="1" applyBorder="1" applyAlignment="1">
      <alignment horizontal="center" vertical="center"/>
    </xf>
    <xf numFmtId="2" fontId="22" fillId="3" borderId="4" xfId="1" quotePrefix="1" applyNumberFormat="1" applyFont="1" applyFill="1" applyBorder="1" applyAlignment="1">
      <alignment horizontal="center" vertical="center"/>
    </xf>
    <xf numFmtId="2" fontId="22" fillId="3" borderId="9" xfId="1" quotePrefix="1" applyNumberFormat="1" applyFont="1" applyFill="1" applyBorder="1" applyAlignment="1">
      <alignment horizontal="center" vertical="center"/>
    </xf>
    <xf numFmtId="2" fontId="22" fillId="3" borderId="10" xfId="1" quotePrefix="1" applyNumberFormat="1" applyFont="1" applyFill="1" applyBorder="1" applyAlignment="1">
      <alignment horizontal="center" vertical="center"/>
    </xf>
    <xf numFmtId="2" fontId="22" fillId="3" borderId="3" xfId="0" quotePrefix="1" applyNumberFormat="1" applyFont="1" applyFill="1" applyBorder="1" applyAlignment="1">
      <alignment horizontal="center" vertical="center"/>
    </xf>
    <xf numFmtId="2" fontId="22" fillId="3" borderId="4" xfId="0" quotePrefix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quotePrefix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2" fontId="3" fillId="3" borderId="3" xfId="0" quotePrefix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2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3" fillId="3" borderId="0" xfId="1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/>
    </xf>
    <xf numFmtId="2" fontId="3" fillId="3" borderId="7" xfId="1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 shrinkToFit="1"/>
    </xf>
    <xf numFmtId="2" fontId="3" fillId="3" borderId="3" xfId="0" applyNumberFormat="1" applyFont="1" applyFill="1" applyBorder="1" applyAlignment="1">
      <alignment horizontal="center" vertical="center" shrinkToFit="1"/>
    </xf>
    <xf numFmtId="2" fontId="3" fillId="3" borderId="4" xfId="0" applyNumberFormat="1" applyFont="1" applyFill="1" applyBorder="1" applyAlignment="1">
      <alignment horizontal="center" vertical="center" shrinkToFit="1"/>
    </xf>
    <xf numFmtId="4" fontId="2" fillId="3" borderId="3" xfId="0" applyNumberFormat="1" applyFont="1" applyFill="1" applyBorder="1" applyAlignment="1">
      <alignment horizontal="center" vertical="center"/>
    </xf>
    <xf numFmtId="4" fontId="22" fillId="3" borderId="3" xfId="0" applyNumberFormat="1" applyFont="1" applyFill="1" applyBorder="1" applyAlignment="1">
      <alignment horizontal="center" vertical="center"/>
    </xf>
    <xf numFmtId="4" fontId="22" fillId="3" borderId="4" xfId="0" applyNumberFormat="1" applyFont="1" applyFill="1" applyBorder="1" applyAlignment="1">
      <alignment horizontal="center" vertical="center"/>
    </xf>
    <xf numFmtId="2" fontId="22" fillId="3" borderId="0" xfId="0" applyNumberFormat="1" applyFont="1" applyFill="1" applyAlignment="1">
      <alignment horizontal="center" vertical="center"/>
    </xf>
    <xf numFmtId="39" fontId="22" fillId="3" borderId="0" xfId="0" applyNumberFormat="1" applyFont="1" applyFill="1"/>
    <xf numFmtId="0" fontId="20" fillId="3" borderId="0" xfId="0" applyFont="1" applyFill="1" applyAlignment="1">
      <alignment horizontal="center" vertical="center" shrinkToFit="1"/>
    </xf>
    <xf numFmtId="0" fontId="2" fillId="3" borderId="0" xfId="0" applyFont="1" applyFill="1" applyAlignment="1">
      <alignment horizontal="left" vertical="center"/>
    </xf>
    <xf numFmtId="2" fontId="2" fillId="3" borderId="2" xfId="1" applyNumberFormat="1" applyFont="1" applyFill="1" applyBorder="1" applyAlignment="1">
      <alignment horizontal="center" vertical="center"/>
    </xf>
    <xf numFmtId="2" fontId="2" fillId="3" borderId="4" xfId="1" quotePrefix="1" applyNumberFormat="1" applyFont="1" applyFill="1" applyBorder="1" applyAlignment="1">
      <alignment horizontal="center" vertical="center"/>
    </xf>
    <xf numFmtId="2" fontId="2" fillId="3" borderId="9" xfId="1" quotePrefix="1" applyNumberFormat="1" applyFont="1" applyFill="1" applyBorder="1" applyAlignment="1">
      <alignment horizontal="center" vertical="center"/>
    </xf>
    <xf numFmtId="2" fontId="2" fillId="3" borderId="10" xfId="1" quotePrefix="1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  <xf numFmtId="2" fontId="2" fillId="3" borderId="12" xfId="1" applyNumberFormat="1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/>
    </xf>
    <xf numFmtId="0" fontId="36" fillId="3" borderId="0" xfId="0" applyFont="1" applyFill="1" applyAlignment="1">
      <alignment horizontal="left" vertical="center"/>
    </xf>
    <xf numFmtId="2" fontId="12" fillId="3" borderId="0" xfId="0" applyNumberFormat="1" applyFont="1" applyFill="1"/>
    <xf numFmtId="0" fontId="2" fillId="3" borderId="1" xfId="0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horizontal="center" vertical="center"/>
    </xf>
    <xf numFmtId="2" fontId="3" fillId="3" borderId="4" xfId="1" applyNumberFormat="1" applyFont="1" applyFill="1" applyBorder="1" applyAlignment="1">
      <alignment horizontal="center" vertical="center"/>
    </xf>
    <xf numFmtId="2" fontId="3" fillId="3" borderId="4" xfId="1" quotePrefix="1" applyNumberFormat="1" applyFont="1" applyFill="1" applyBorder="1" applyAlignment="1">
      <alignment horizontal="center" vertical="center"/>
    </xf>
    <xf numFmtId="49" fontId="9" fillId="3" borderId="0" xfId="0" applyNumberFormat="1" applyFont="1" applyFill="1"/>
    <xf numFmtId="0" fontId="38" fillId="3" borderId="0" xfId="0" applyFont="1" applyFill="1" applyAlignment="1">
      <alignment vertical="center"/>
    </xf>
    <xf numFmtId="2" fontId="3" fillId="3" borderId="0" xfId="1" quotePrefix="1" applyNumberFormat="1" applyFont="1" applyFill="1" applyBorder="1" applyAlignment="1">
      <alignment horizontal="center" vertical="center"/>
    </xf>
    <xf numFmtId="0" fontId="22" fillId="3" borderId="3" xfId="0" quotePrefix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1" fillId="3" borderId="0" xfId="0" applyFont="1" applyFill="1"/>
    <xf numFmtId="0" fontId="40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vertical="center"/>
    </xf>
    <xf numFmtId="0" fontId="33" fillId="3" borderId="0" xfId="0" applyFont="1" applyFill="1" applyAlignment="1" applyProtection="1">
      <alignment vertical="center"/>
      <protection locked="0"/>
    </xf>
    <xf numFmtId="0" fontId="33" fillId="3" borderId="0" xfId="0" applyFont="1" applyFill="1" applyAlignment="1">
      <alignment horizontal="center" vertical="center"/>
    </xf>
    <xf numFmtId="165" fontId="22" fillId="3" borderId="4" xfId="0" applyNumberFormat="1" applyFont="1" applyFill="1" applyBorder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22" fillId="3" borderId="0" xfId="0" applyFont="1" applyFill="1" applyAlignment="1" applyProtection="1">
      <alignment vertical="center"/>
      <protection locked="0"/>
    </xf>
    <xf numFmtId="0" fontId="22" fillId="3" borderId="0" xfId="0" applyFont="1" applyFill="1" applyAlignment="1">
      <alignment horizontal="center" vertical="center"/>
    </xf>
    <xf numFmtId="2" fontId="22" fillId="3" borderId="14" xfId="0" applyNumberFormat="1" applyFont="1" applyFill="1" applyBorder="1" applyAlignment="1">
      <alignment horizontal="center" vertical="center"/>
    </xf>
    <xf numFmtId="2" fontId="22" fillId="3" borderId="12" xfId="0" applyNumberFormat="1" applyFont="1" applyFill="1" applyBorder="1" applyAlignment="1">
      <alignment horizontal="center" vertical="center"/>
    </xf>
    <xf numFmtId="49" fontId="0" fillId="3" borderId="0" xfId="0" applyNumberFormat="1" applyFill="1"/>
    <xf numFmtId="2" fontId="6" fillId="3" borderId="0" xfId="0" applyNumberFormat="1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2" fontId="2" fillId="3" borderId="9" xfId="2" applyNumberFormat="1" applyFont="1" applyFill="1" applyBorder="1" applyAlignment="1">
      <alignment horizontal="center" vertical="center"/>
    </xf>
    <xf numFmtId="2" fontId="2" fillId="3" borderId="20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25" fillId="3" borderId="0" xfId="0" applyFont="1" applyFill="1" applyAlignment="1">
      <alignment vertical="center"/>
    </xf>
    <xf numFmtId="2" fontId="0" fillId="3" borderId="0" xfId="0" applyNumberFormat="1" applyFill="1" applyAlignment="1">
      <alignment vertical="center"/>
    </xf>
    <xf numFmtId="2" fontId="2" fillId="3" borderId="2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49" fontId="9" fillId="3" borderId="0" xfId="0" applyNumberFormat="1" applyFont="1" applyFill="1" applyAlignment="1">
      <alignment horizontal="center"/>
    </xf>
    <xf numFmtId="0" fontId="23" fillId="3" borderId="0" xfId="0" applyFont="1" applyFill="1" applyAlignment="1">
      <alignment horizontal="center" vertical="center" shrinkToFit="1"/>
    </xf>
    <xf numFmtId="2" fontId="3" fillId="4" borderId="4" xfId="1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vertical="center"/>
    </xf>
    <xf numFmtId="2" fontId="22" fillId="3" borderId="3" xfId="0" applyNumberFormat="1" applyFont="1" applyFill="1" applyBorder="1" applyAlignment="1">
      <alignment horizontal="center" vertical="center"/>
    </xf>
    <xf numFmtId="2" fontId="22" fillId="3" borderId="4" xfId="0" applyNumberFormat="1" applyFont="1" applyFill="1" applyBorder="1" applyAlignment="1">
      <alignment horizontal="center" vertical="center"/>
    </xf>
    <xf numFmtId="2" fontId="2" fillId="3" borderId="3" xfId="1" applyNumberFormat="1" applyFont="1" applyFill="1" applyBorder="1" applyAlignment="1">
      <alignment horizontal="center" vertical="center"/>
    </xf>
    <xf numFmtId="2" fontId="2" fillId="3" borderId="3" xfId="1" quotePrefix="1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2" fontId="3" fillId="3" borderId="14" xfId="1" quotePrefix="1" applyNumberFormat="1" applyFont="1" applyFill="1" applyBorder="1" applyAlignment="1">
      <alignment horizontal="center" vertical="center"/>
    </xf>
    <xf numFmtId="0" fontId="31" fillId="3" borderId="15" xfId="0" applyFont="1" applyFill="1" applyBorder="1"/>
    <xf numFmtId="0" fontId="0" fillId="3" borderId="15" xfId="0" applyFill="1" applyBorder="1"/>
    <xf numFmtId="2" fontId="22" fillId="3" borderId="14" xfId="1" applyNumberFormat="1" applyFont="1" applyFill="1" applyBorder="1" applyAlignment="1">
      <alignment horizontal="center" vertical="center"/>
    </xf>
    <xf numFmtId="2" fontId="3" fillId="3" borderId="0" xfId="1" quotePrefix="1" applyNumberFormat="1" applyFont="1" applyFill="1" applyBorder="1" applyAlignment="1">
      <alignment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vertical="center"/>
    </xf>
    <xf numFmtId="2" fontId="22" fillId="4" borderId="3" xfId="0" applyNumberFormat="1" applyFont="1" applyFill="1" applyBorder="1" applyAlignment="1">
      <alignment horizontal="center" vertical="center"/>
    </xf>
    <xf numFmtId="2" fontId="22" fillId="4" borderId="4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2" fontId="2" fillId="4" borderId="4" xfId="0" quotePrefix="1" applyNumberFormat="1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2" fontId="25" fillId="4" borderId="3" xfId="0" applyNumberFormat="1" applyFont="1" applyFill="1" applyBorder="1" applyAlignment="1">
      <alignment horizontal="center" vertical="center"/>
    </xf>
    <xf numFmtId="2" fontId="24" fillId="4" borderId="3" xfId="0" applyNumberFormat="1" applyFont="1" applyFill="1" applyBorder="1" applyAlignment="1">
      <alignment horizontal="center" vertical="center"/>
    </xf>
    <xf numFmtId="2" fontId="25" fillId="4" borderId="4" xfId="0" applyNumberFormat="1" applyFont="1" applyFill="1" applyBorder="1" applyAlignment="1">
      <alignment horizontal="center" vertical="center"/>
    </xf>
    <xf numFmtId="2" fontId="3" fillId="4" borderId="4" xfId="0" quotePrefix="1" applyNumberFormat="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 wrapText="1"/>
    </xf>
    <xf numFmtId="2" fontId="25" fillId="4" borderId="3" xfId="0" applyNumberFormat="1" applyFont="1" applyFill="1" applyBorder="1" applyAlignment="1">
      <alignment horizontal="center" vertical="center" wrapText="1"/>
    </xf>
    <xf numFmtId="2" fontId="23" fillId="4" borderId="2" xfId="0" applyNumberFormat="1" applyFont="1" applyFill="1" applyBorder="1" applyAlignment="1">
      <alignment horizontal="center" vertical="center" wrapText="1"/>
    </xf>
    <xf numFmtId="2" fontId="23" fillId="4" borderId="2" xfId="0" quotePrefix="1" applyNumberFormat="1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9" fillId="3" borderId="0" xfId="0" applyFont="1" applyFill="1"/>
    <xf numFmtId="0" fontId="25" fillId="3" borderId="0" xfId="0" applyFont="1" applyFill="1"/>
    <xf numFmtId="2" fontId="25" fillId="4" borderId="2" xfId="0" applyNumberFormat="1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20" fillId="4" borderId="3" xfId="0" applyNumberFormat="1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/>
    </xf>
    <xf numFmtId="2" fontId="2" fillId="4" borderId="10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2" fontId="20" fillId="4" borderId="9" xfId="0" applyNumberFormat="1" applyFont="1" applyFill="1" applyBorder="1" applyAlignment="1">
      <alignment horizontal="center" vertical="center"/>
    </xf>
    <xf numFmtId="49" fontId="23" fillId="4" borderId="2" xfId="0" applyNumberFormat="1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 shrinkToFit="1"/>
    </xf>
    <xf numFmtId="164" fontId="23" fillId="4" borderId="12" xfId="1" applyFont="1" applyFill="1" applyBorder="1" applyAlignment="1">
      <alignment horizontal="center" vertical="center" shrinkToFit="1"/>
    </xf>
    <xf numFmtId="49" fontId="3" fillId="4" borderId="2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49" fontId="2" fillId="3" borderId="0" xfId="0" applyNumberFormat="1" applyFont="1" applyFill="1"/>
    <xf numFmtId="2" fontId="3" fillId="3" borderId="2" xfId="0" quotePrefix="1" applyNumberFormat="1" applyFont="1" applyFill="1" applyBorder="1" applyAlignment="1">
      <alignment horizontal="center" vertical="center"/>
    </xf>
    <xf numFmtId="2" fontId="37" fillId="4" borderId="3" xfId="1" applyNumberFormat="1" applyFont="1" applyFill="1" applyBorder="1" applyAlignment="1">
      <alignment horizontal="center" vertical="center" shrinkToFit="1"/>
    </xf>
    <xf numFmtId="2" fontId="37" fillId="4" borderId="3" xfId="1" applyNumberFormat="1" applyFont="1" applyFill="1" applyBorder="1" applyAlignment="1">
      <alignment horizontal="left" vertical="center" shrinkToFit="1"/>
    </xf>
    <xf numFmtId="2" fontId="37" fillId="4" borderId="4" xfId="1" applyNumberFormat="1" applyFont="1" applyFill="1" applyBorder="1" applyAlignment="1">
      <alignment horizontal="center" vertical="center" shrinkToFit="1"/>
    </xf>
    <xf numFmtId="164" fontId="20" fillId="4" borderId="5" xfId="1" applyFont="1" applyFill="1" applyBorder="1" applyAlignment="1">
      <alignment horizontal="center" vertical="center" shrinkToFit="1"/>
    </xf>
    <xf numFmtId="164" fontId="20" fillId="4" borderId="6" xfId="1" applyFont="1" applyFill="1" applyBorder="1" applyAlignment="1">
      <alignment horizontal="center" vertical="center" shrinkToFit="1"/>
    </xf>
    <xf numFmtId="164" fontId="20" fillId="4" borderId="6" xfId="1" applyFont="1" applyFill="1" applyBorder="1" applyAlignment="1">
      <alignment horizontal="left" vertical="center" shrinkToFit="1"/>
    </xf>
    <xf numFmtId="164" fontId="20" fillId="4" borderId="7" xfId="1" applyFont="1" applyFill="1" applyBorder="1" applyAlignment="1">
      <alignment horizontal="center" vertical="center" shrinkToFit="1"/>
    </xf>
    <xf numFmtId="164" fontId="20" fillId="4" borderId="2" xfId="1" applyFont="1" applyFill="1" applyBorder="1" applyAlignment="1">
      <alignment horizontal="center" vertical="center" shrinkToFit="1"/>
    </xf>
    <xf numFmtId="164" fontId="20" fillId="4" borderId="3" xfId="1" applyFont="1" applyFill="1" applyBorder="1" applyAlignment="1">
      <alignment horizontal="center" vertical="center" shrinkToFit="1"/>
    </xf>
    <xf numFmtId="164" fontId="20" fillId="4" borderId="3" xfId="1" applyFont="1" applyFill="1" applyBorder="1" applyAlignment="1">
      <alignment horizontal="left" vertical="center" shrinkToFit="1"/>
    </xf>
    <xf numFmtId="164" fontId="20" fillId="4" borderId="4" xfId="1" applyFont="1" applyFill="1" applyBorder="1" applyAlignment="1">
      <alignment horizontal="center" vertical="center" shrinkToFit="1"/>
    </xf>
    <xf numFmtId="2" fontId="2" fillId="4" borderId="2" xfId="1" applyNumberFormat="1" applyFont="1" applyFill="1" applyBorder="1" applyAlignment="1">
      <alignment horizontal="center" vertical="center"/>
    </xf>
    <xf numFmtId="2" fontId="2" fillId="4" borderId="3" xfId="1" applyNumberFormat="1" applyFont="1" applyFill="1" applyBorder="1" applyAlignment="1">
      <alignment horizontal="center" vertical="center"/>
    </xf>
    <xf numFmtId="2" fontId="2" fillId="4" borderId="3" xfId="0" quotePrefix="1" applyNumberFormat="1" applyFont="1" applyFill="1" applyBorder="1" applyAlignment="1">
      <alignment horizontal="center" vertical="center"/>
    </xf>
    <xf numFmtId="2" fontId="2" fillId="4" borderId="4" xfId="1" applyNumberFormat="1" applyFont="1" applyFill="1" applyBorder="1" applyAlignment="1">
      <alignment horizontal="center" vertical="center"/>
    </xf>
    <xf numFmtId="2" fontId="22" fillId="4" borderId="3" xfId="0" quotePrefix="1" applyNumberFormat="1" applyFont="1" applyFill="1" applyBorder="1" applyAlignment="1">
      <alignment horizontal="center" vertical="center"/>
    </xf>
    <xf numFmtId="2" fontId="22" fillId="4" borderId="4" xfId="0" quotePrefix="1" applyNumberFormat="1" applyFont="1" applyFill="1" applyBorder="1" applyAlignment="1">
      <alignment horizontal="center" vertical="center"/>
    </xf>
    <xf numFmtId="2" fontId="2" fillId="4" borderId="4" xfId="1" quotePrefix="1" applyNumberFormat="1" applyFont="1" applyFill="1" applyBorder="1" applyAlignment="1">
      <alignment horizontal="center" vertical="center"/>
    </xf>
    <xf numFmtId="2" fontId="35" fillId="4" borderId="3" xfId="1" quotePrefix="1" applyNumberFormat="1" applyFont="1" applyFill="1" applyBorder="1" applyAlignment="1">
      <alignment horizontal="center" vertical="center"/>
    </xf>
    <xf numFmtId="2" fontId="35" fillId="4" borderId="4" xfId="1" quotePrefix="1" applyNumberFormat="1" applyFont="1" applyFill="1" applyBorder="1" applyAlignment="1">
      <alignment horizontal="center" vertical="center"/>
    </xf>
    <xf numFmtId="2" fontId="35" fillId="4" borderId="3" xfId="0" quotePrefix="1" applyNumberFormat="1" applyFont="1" applyFill="1" applyBorder="1" applyAlignment="1">
      <alignment horizontal="center" vertical="center"/>
    </xf>
    <xf numFmtId="2" fontId="35" fillId="4" borderId="4" xfId="0" quotePrefix="1" applyNumberFormat="1" applyFont="1" applyFill="1" applyBorder="1" applyAlignment="1">
      <alignment horizontal="center" vertical="center"/>
    </xf>
    <xf numFmtId="4" fontId="22" fillId="4" borderId="3" xfId="0" applyNumberFormat="1" applyFont="1" applyFill="1" applyBorder="1" applyAlignment="1">
      <alignment horizontal="center" vertical="center"/>
    </xf>
    <xf numFmtId="4" fontId="22" fillId="4" borderId="4" xfId="0" applyNumberFormat="1" applyFont="1" applyFill="1" applyBorder="1" applyAlignment="1">
      <alignment horizontal="center" vertical="center"/>
    </xf>
    <xf numFmtId="2" fontId="37" fillId="4" borderId="5" xfId="1" applyNumberFormat="1" applyFont="1" applyFill="1" applyBorder="1" applyAlignment="1">
      <alignment horizontal="left" vertical="center" shrinkToFit="1"/>
    </xf>
    <xf numFmtId="2" fontId="37" fillId="4" borderId="6" xfId="1" applyNumberFormat="1" applyFont="1" applyFill="1" applyBorder="1" applyAlignment="1">
      <alignment horizontal="center" vertical="center" shrinkToFit="1"/>
    </xf>
    <xf numFmtId="2" fontId="37" fillId="4" borderId="6" xfId="1" applyNumberFormat="1" applyFont="1" applyFill="1" applyBorder="1" applyAlignment="1">
      <alignment horizontal="left" vertical="center" shrinkToFit="1"/>
    </xf>
    <xf numFmtId="2" fontId="37" fillId="4" borderId="7" xfId="1" applyNumberFormat="1" applyFont="1" applyFill="1" applyBorder="1" applyAlignment="1">
      <alignment horizontal="center" vertical="center" shrinkToFit="1"/>
    </xf>
    <xf numFmtId="4" fontId="2" fillId="4" borderId="2" xfId="0" applyNumberFormat="1" applyFont="1" applyFill="1" applyBorder="1" applyAlignment="1">
      <alignment horizontal="center" vertical="center"/>
    </xf>
    <xf numFmtId="4" fontId="2" fillId="4" borderId="3" xfId="0" applyNumberFormat="1" applyFont="1" applyFill="1" applyBorder="1" applyAlignment="1">
      <alignment horizontal="center" vertical="center"/>
    </xf>
    <xf numFmtId="4" fontId="2" fillId="4" borderId="8" xfId="0" applyNumberFormat="1" applyFont="1" applyFill="1" applyBorder="1" applyAlignment="1">
      <alignment horizontal="center" vertical="center"/>
    </xf>
    <xf numFmtId="4" fontId="2" fillId="4" borderId="9" xfId="0" applyNumberFormat="1" applyFont="1" applyFill="1" applyBorder="1" applyAlignment="1">
      <alignment horizontal="center" vertical="center"/>
    </xf>
    <xf numFmtId="2" fontId="2" fillId="4" borderId="14" xfId="1" applyNumberFormat="1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2" fontId="3" fillId="3" borderId="3" xfId="1" applyNumberFormat="1" applyFont="1" applyFill="1" applyBorder="1" applyAlignment="1">
      <alignment horizontal="center" vertical="center"/>
    </xf>
    <xf numFmtId="2" fontId="3" fillId="3" borderId="2" xfId="0" quotePrefix="1" applyNumberFormat="1" applyFont="1" applyFill="1" applyBorder="1" applyAlignment="1">
      <alignment horizontal="center" vertical="center" shrinkToFit="1"/>
    </xf>
    <xf numFmtId="164" fontId="21" fillId="4" borderId="3" xfId="1" applyFont="1" applyFill="1" applyBorder="1" applyAlignment="1">
      <alignment horizontal="center" vertical="center" shrinkToFit="1"/>
    </xf>
    <xf numFmtId="164" fontId="21" fillId="4" borderId="4" xfId="1" applyFont="1" applyFill="1" applyBorder="1" applyAlignment="1">
      <alignment horizontal="center" vertical="center"/>
    </xf>
    <xf numFmtId="164" fontId="21" fillId="4" borderId="12" xfId="1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left" vertical="center"/>
    </xf>
    <xf numFmtId="0" fontId="22" fillId="4" borderId="3" xfId="0" applyFont="1" applyFill="1" applyBorder="1" applyAlignment="1">
      <alignment horizontal="center" vertical="center"/>
    </xf>
    <xf numFmtId="2" fontId="22" fillId="4" borderId="13" xfId="0" applyNumberFormat="1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left" vertical="center"/>
    </xf>
    <xf numFmtId="164" fontId="23" fillId="4" borderId="3" xfId="1" applyFont="1" applyFill="1" applyBorder="1" applyAlignment="1">
      <alignment horizontal="center" vertical="center" shrinkToFit="1"/>
    </xf>
    <xf numFmtId="164" fontId="23" fillId="4" borderId="3" xfId="1" applyFont="1" applyFill="1" applyBorder="1" applyAlignment="1">
      <alignment horizontal="center" vertical="center"/>
    </xf>
    <xf numFmtId="164" fontId="23" fillId="4" borderId="4" xfId="1" applyFont="1" applyFill="1" applyBorder="1" applyAlignment="1">
      <alignment horizontal="center" vertical="center"/>
    </xf>
    <xf numFmtId="164" fontId="23" fillId="4" borderId="6" xfId="1" applyFont="1" applyFill="1" applyBorder="1" applyAlignment="1">
      <alignment horizontal="center" vertical="center" shrinkToFit="1"/>
    </xf>
    <xf numFmtId="164" fontId="23" fillId="4" borderId="6" xfId="1" applyFont="1" applyFill="1" applyBorder="1" applyAlignment="1">
      <alignment horizontal="center" vertical="center"/>
    </xf>
    <xf numFmtId="164" fontId="23" fillId="4" borderId="7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2" fontId="3" fillId="4" borderId="8" xfId="0" quotePrefix="1" applyNumberFormat="1" applyFont="1" applyFill="1" applyBorder="1" applyAlignment="1">
      <alignment horizontal="center" vertical="center"/>
    </xf>
    <xf numFmtId="2" fontId="3" fillId="4" borderId="9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2" fontId="3" fillId="4" borderId="3" xfId="0" quotePrefix="1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 vertical="center"/>
    </xf>
    <xf numFmtId="2" fontId="3" fillId="4" borderId="8" xfId="0" quotePrefix="1" applyNumberFormat="1" applyFont="1" applyFill="1" applyBorder="1" applyAlignment="1">
      <alignment horizontal="center" vertical="center" shrinkToFit="1"/>
    </xf>
    <xf numFmtId="2" fontId="3" fillId="4" borderId="9" xfId="0" applyNumberFormat="1" applyFont="1" applyFill="1" applyBorder="1" applyAlignment="1">
      <alignment horizontal="center" vertical="center" shrinkToFit="1"/>
    </xf>
    <xf numFmtId="2" fontId="3" fillId="4" borderId="9" xfId="1" applyNumberFormat="1" applyFont="1" applyFill="1" applyBorder="1" applyAlignment="1">
      <alignment horizontal="center" vertical="center"/>
    </xf>
    <xf numFmtId="2" fontId="3" fillId="4" borderId="10" xfId="1" applyNumberFormat="1" applyFont="1" applyFill="1" applyBorder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2" fontId="3" fillId="4" borderId="2" xfId="0" quotePrefix="1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shrinkToFit="1"/>
    </xf>
    <xf numFmtId="2" fontId="3" fillId="4" borderId="3" xfId="0" applyNumberFormat="1" applyFont="1" applyFill="1" applyBorder="1" applyAlignment="1">
      <alignment horizontal="center" vertical="center" shrinkToFit="1"/>
    </xf>
    <xf numFmtId="2" fontId="3" fillId="4" borderId="4" xfId="0" applyNumberFormat="1" applyFont="1" applyFill="1" applyBorder="1" applyAlignment="1">
      <alignment horizontal="center" vertical="center" shrinkToFit="1"/>
    </xf>
    <xf numFmtId="2" fontId="3" fillId="4" borderId="8" xfId="0" applyNumberFormat="1" applyFont="1" applyFill="1" applyBorder="1" applyAlignment="1">
      <alignment horizontal="center" vertical="center" shrinkToFit="1"/>
    </xf>
    <xf numFmtId="2" fontId="3" fillId="4" borderId="10" xfId="0" applyNumberFormat="1" applyFont="1" applyFill="1" applyBorder="1" applyAlignment="1">
      <alignment horizontal="center" vertical="center" shrinkToFit="1"/>
    </xf>
    <xf numFmtId="2" fontId="22" fillId="3" borderId="3" xfId="1" applyNumberFormat="1" applyFont="1" applyFill="1" applyBorder="1" applyAlignment="1">
      <alignment horizontal="center" vertical="center"/>
    </xf>
    <xf numFmtId="49" fontId="20" fillId="4" borderId="2" xfId="0" applyNumberFormat="1" applyFont="1" applyFill="1" applyBorder="1" applyAlignment="1">
      <alignment horizontal="center" vertical="center" shrinkToFit="1"/>
    </xf>
    <xf numFmtId="0" fontId="20" fillId="4" borderId="4" xfId="0" applyFont="1" applyFill="1" applyBorder="1" applyAlignment="1">
      <alignment horizontal="center" vertical="center" shrinkToFit="1"/>
    </xf>
    <xf numFmtId="0" fontId="21" fillId="4" borderId="12" xfId="0" applyFont="1" applyFill="1" applyBorder="1" applyAlignment="1">
      <alignment horizontal="center" vertical="center" shrinkToFit="1"/>
    </xf>
    <xf numFmtId="49" fontId="22" fillId="4" borderId="2" xfId="0" applyNumberFormat="1" applyFont="1" applyFill="1" applyBorder="1" applyAlignment="1">
      <alignment horizontal="center" vertical="center"/>
    </xf>
    <xf numFmtId="49" fontId="22" fillId="4" borderId="3" xfId="0" applyNumberFormat="1" applyFont="1" applyFill="1" applyBorder="1" applyAlignment="1">
      <alignment horizontal="center" vertical="center"/>
    </xf>
    <xf numFmtId="2" fontId="22" fillId="4" borderId="4" xfId="1" applyNumberFormat="1" applyFont="1" applyFill="1" applyBorder="1" applyAlignment="1">
      <alignment horizontal="center" vertical="center"/>
    </xf>
    <xf numFmtId="2" fontId="22" fillId="4" borderId="13" xfId="1" applyNumberFormat="1" applyFont="1" applyFill="1" applyBorder="1" applyAlignment="1">
      <alignment horizontal="center" vertical="center"/>
    </xf>
    <xf numFmtId="2" fontId="22" fillId="4" borderId="13" xfId="1" applyNumberFormat="1" applyFont="1" applyFill="1" applyBorder="1" applyAlignment="1">
      <alignment horizontal="center" vertical="center" shrinkToFit="1"/>
    </xf>
    <xf numFmtId="2" fontId="22" fillId="4" borderId="14" xfId="0" applyNumberFormat="1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vertical="center" shrinkToFit="1"/>
    </xf>
    <xf numFmtId="0" fontId="21" fillId="4" borderId="5" xfId="0" applyFont="1" applyFill="1" applyBorder="1" applyAlignment="1">
      <alignment horizontal="center" vertical="center" shrinkToFit="1"/>
    </xf>
    <xf numFmtId="0" fontId="21" fillId="4" borderId="7" xfId="0" applyFont="1" applyFill="1" applyBorder="1" applyAlignment="1">
      <alignment horizontal="center" vertical="center" shrinkToFit="1"/>
    </xf>
    <xf numFmtId="2" fontId="22" fillId="4" borderId="2" xfId="0" applyNumberFormat="1" applyFont="1" applyFill="1" applyBorder="1" applyAlignment="1">
      <alignment horizontal="center" vertical="center"/>
    </xf>
    <xf numFmtId="2" fontId="22" fillId="4" borderId="3" xfId="1" applyNumberFormat="1" applyFont="1" applyFill="1" applyBorder="1" applyAlignment="1">
      <alignment horizontal="center" vertical="center"/>
    </xf>
    <xf numFmtId="2" fontId="22" fillId="4" borderId="4" xfId="1" quotePrefix="1" applyNumberFormat="1" applyFont="1" applyFill="1" applyBorder="1" applyAlignment="1">
      <alignment horizontal="center" vertical="center"/>
    </xf>
    <xf numFmtId="2" fontId="22" fillId="4" borderId="2" xfId="1" applyNumberFormat="1" applyFont="1" applyFill="1" applyBorder="1" applyAlignment="1">
      <alignment horizontal="center" vertical="center" shrinkToFit="1"/>
    </xf>
    <xf numFmtId="49" fontId="2" fillId="4" borderId="2" xfId="0" applyNumberFormat="1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23" fillId="4" borderId="21" xfId="0" applyFont="1" applyFill="1" applyBorder="1" applyAlignment="1">
      <alignment horizontal="center" vertical="center" shrinkToFit="1"/>
    </xf>
    <xf numFmtId="2" fontId="3" fillId="4" borderId="4" xfId="1" quotePrefix="1" applyNumberFormat="1" applyFont="1" applyFill="1" applyBorder="1" applyAlignment="1">
      <alignment horizontal="center" vertical="center"/>
    </xf>
    <xf numFmtId="164" fontId="21" fillId="4" borderId="4" xfId="0" applyNumberFormat="1" applyFont="1" applyFill="1" applyBorder="1" applyAlignment="1">
      <alignment horizontal="center" vertical="center"/>
    </xf>
    <xf numFmtId="164" fontId="21" fillId="4" borderId="12" xfId="0" applyNumberFormat="1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 shrinkToFit="1"/>
    </xf>
    <xf numFmtId="165" fontId="22" fillId="4" borderId="4" xfId="0" applyNumberFormat="1" applyFont="1" applyFill="1" applyBorder="1" applyAlignment="1">
      <alignment horizontal="center" vertical="center"/>
    </xf>
    <xf numFmtId="2" fontId="22" fillId="4" borderId="9" xfId="0" applyNumberFormat="1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 shrinkToFi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shrinkToFit="1"/>
    </xf>
    <xf numFmtId="0" fontId="22" fillId="4" borderId="3" xfId="0" quotePrefix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vertical="center" shrinkToFit="1"/>
    </xf>
    <xf numFmtId="0" fontId="27" fillId="3" borderId="0" xfId="0" applyFont="1" applyFill="1" applyAlignment="1">
      <alignment horizontal="center" vertical="center" shrinkToFit="1"/>
    </xf>
    <xf numFmtId="2" fontId="20" fillId="4" borderId="4" xfId="0" applyNumberFormat="1" applyFont="1" applyFill="1" applyBorder="1" applyAlignment="1">
      <alignment horizontal="center" vertical="center" shrinkToFit="1"/>
    </xf>
    <xf numFmtId="164" fontId="20" fillId="4" borderId="11" xfId="1" applyFont="1" applyFill="1" applyBorder="1" applyAlignment="1">
      <alignment horizontal="center" vertical="center" shrinkToFit="1"/>
    </xf>
    <xf numFmtId="2" fontId="20" fillId="4" borderId="11" xfId="0" applyNumberFormat="1" applyFont="1" applyFill="1" applyBorder="1" applyAlignment="1">
      <alignment horizontal="center" vertical="center"/>
    </xf>
    <xf numFmtId="2" fontId="20" fillId="4" borderId="4" xfId="0" applyNumberFormat="1" applyFont="1" applyFill="1" applyBorder="1" applyAlignment="1">
      <alignment horizontal="center" vertical="center"/>
    </xf>
    <xf numFmtId="2" fontId="2" fillId="4" borderId="11" xfId="2" applyNumberFormat="1" applyFont="1" applyFill="1" applyBorder="1" applyAlignment="1">
      <alignment horizontal="center" vertical="center"/>
    </xf>
    <xf numFmtId="2" fontId="2" fillId="4" borderId="3" xfId="2" applyNumberFormat="1" applyFont="1" applyFill="1" applyBorder="1" applyAlignment="1">
      <alignment horizontal="center" vertical="center"/>
    </xf>
    <xf numFmtId="2" fontId="20" fillId="4" borderId="6" xfId="0" applyNumberFormat="1" applyFont="1" applyFill="1" applyBorder="1" applyAlignment="1">
      <alignment horizontal="center" vertical="center"/>
    </xf>
    <xf numFmtId="2" fontId="20" fillId="4" borderId="19" xfId="0" applyNumberFormat="1" applyFont="1" applyFill="1" applyBorder="1" applyAlignment="1">
      <alignment horizontal="center" vertical="center"/>
    </xf>
    <xf numFmtId="2" fontId="20" fillId="4" borderId="7" xfId="0" applyNumberFormat="1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left" vertical="center"/>
    </xf>
    <xf numFmtId="2" fontId="34" fillId="4" borderId="3" xfId="1" applyNumberFormat="1" applyFont="1" applyFill="1" applyBorder="1" applyAlignment="1">
      <alignment horizontal="center" vertical="center" shrinkToFit="1"/>
    </xf>
    <xf numFmtId="2" fontId="34" fillId="4" borderId="4" xfId="1" applyNumberFormat="1" applyFont="1" applyFill="1" applyBorder="1" applyAlignment="1">
      <alignment horizontal="center" vertical="center" shrinkToFit="1"/>
    </xf>
    <xf numFmtId="2" fontId="34" fillId="4" borderId="5" xfId="1" applyNumberFormat="1" applyFont="1" applyFill="1" applyBorder="1" applyAlignment="1">
      <alignment horizontal="center" vertical="center" shrinkToFit="1"/>
    </xf>
    <xf numFmtId="2" fontId="34" fillId="4" borderId="6" xfId="1" applyNumberFormat="1" applyFont="1" applyFill="1" applyBorder="1" applyAlignment="1">
      <alignment horizontal="center" vertical="center" shrinkToFit="1"/>
    </xf>
    <xf numFmtId="2" fontId="34" fillId="4" borderId="7" xfId="1" applyNumberFormat="1" applyFont="1" applyFill="1" applyBorder="1" applyAlignment="1">
      <alignment horizontal="center" vertical="center" shrinkToFit="1"/>
    </xf>
    <xf numFmtId="2" fontId="22" fillId="4" borderId="8" xfId="0" applyNumberFormat="1" applyFont="1" applyFill="1" applyBorder="1" applyAlignment="1">
      <alignment horizontal="center" vertical="center"/>
    </xf>
    <xf numFmtId="2" fontId="22" fillId="4" borderId="3" xfId="1" quotePrefix="1" applyNumberFormat="1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left" vertical="center" wrapText="1"/>
    </xf>
    <xf numFmtId="2" fontId="35" fillId="4" borderId="3" xfId="0" quotePrefix="1" applyNumberFormat="1" applyFont="1" applyFill="1" applyBorder="1" applyAlignment="1">
      <alignment horizontal="center" vertical="center" shrinkToFit="1"/>
    </xf>
    <xf numFmtId="2" fontId="35" fillId="4" borderId="4" xfId="0" quotePrefix="1" applyNumberFormat="1" applyFont="1" applyFill="1" applyBorder="1" applyAlignment="1">
      <alignment horizontal="center" vertical="center" shrinkToFit="1"/>
    </xf>
    <xf numFmtId="2" fontId="35" fillId="4" borderId="9" xfId="0" quotePrefix="1" applyNumberFormat="1" applyFont="1" applyFill="1" applyBorder="1" applyAlignment="1">
      <alignment horizontal="center" vertical="center"/>
    </xf>
    <xf numFmtId="2" fontId="35" fillId="4" borderId="10" xfId="0" quotePrefix="1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20" fillId="3" borderId="3" xfId="0" applyNumberFormat="1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left" vertical="center"/>
    </xf>
    <xf numFmtId="2" fontId="22" fillId="4" borderId="10" xfId="0" applyNumberFormat="1" applyFont="1" applyFill="1" applyBorder="1" applyAlignment="1">
      <alignment horizontal="center" vertical="center"/>
    </xf>
    <xf numFmtId="2" fontId="3" fillId="3" borderId="9" xfId="0" applyNumberFormat="1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center" vertical="center"/>
    </xf>
    <xf numFmtId="2" fontId="20" fillId="3" borderId="9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 shrinkToFit="1"/>
    </xf>
    <xf numFmtId="2" fontId="25" fillId="3" borderId="13" xfId="1" applyNumberFormat="1" applyFont="1" applyFill="1" applyBorder="1" applyAlignment="1">
      <alignment horizontal="center" vertical="center"/>
    </xf>
    <xf numFmtId="2" fontId="25" fillId="4" borderId="13" xfId="1" applyNumberFormat="1" applyFont="1" applyFill="1" applyBorder="1" applyAlignment="1">
      <alignment horizontal="center" vertical="center"/>
    </xf>
    <xf numFmtId="2" fontId="25" fillId="3" borderId="0" xfId="1" quotePrefix="1" applyNumberFormat="1" applyFont="1" applyFill="1" applyBorder="1" applyAlignment="1">
      <alignment horizontal="center" vertical="center"/>
    </xf>
    <xf numFmtId="2" fontId="25" fillId="3" borderId="13" xfId="0" applyNumberFormat="1" applyFont="1" applyFill="1" applyBorder="1" applyAlignment="1">
      <alignment horizontal="center" vertical="center"/>
    </xf>
    <xf numFmtId="2" fontId="25" fillId="4" borderId="13" xfId="0" applyNumberFormat="1" applyFont="1" applyFill="1" applyBorder="1" applyAlignment="1">
      <alignment horizontal="center" vertical="center"/>
    </xf>
    <xf numFmtId="2" fontId="25" fillId="4" borderId="14" xfId="1" quotePrefix="1" applyNumberFormat="1" applyFont="1" applyFill="1" applyBorder="1" applyAlignment="1">
      <alignment horizontal="center" vertical="center"/>
    </xf>
    <xf numFmtId="2" fontId="25" fillId="4" borderId="14" xfId="1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vertical="center"/>
    </xf>
    <xf numFmtId="0" fontId="24" fillId="4" borderId="21" xfId="0" applyFont="1" applyFill="1" applyBorder="1" applyAlignment="1">
      <alignment horizontal="center" vertical="center" shrinkToFit="1"/>
    </xf>
    <xf numFmtId="2" fontId="25" fillId="3" borderId="5" xfId="1" applyNumberFormat="1" applyFont="1" applyFill="1" applyBorder="1" applyAlignment="1">
      <alignment horizontal="center" vertical="center"/>
    </xf>
    <xf numFmtId="2" fontId="25" fillId="4" borderId="2" xfId="1" applyNumberFormat="1" applyFont="1" applyFill="1" applyBorder="1" applyAlignment="1">
      <alignment horizontal="center" vertical="center"/>
    </xf>
    <xf numFmtId="2" fontId="25" fillId="3" borderId="2" xfId="1" applyNumberFormat="1" applyFont="1" applyFill="1" applyBorder="1" applyAlignment="1">
      <alignment horizontal="center" vertical="center"/>
    </xf>
    <xf numFmtId="2" fontId="25" fillId="4" borderId="8" xfId="1" applyNumberFormat="1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 shrinkToFit="1"/>
    </xf>
    <xf numFmtId="2" fontId="42" fillId="3" borderId="13" xfId="0" applyNumberFormat="1" applyFont="1" applyFill="1" applyBorder="1" applyAlignment="1">
      <alignment horizontal="center" vertical="center"/>
    </xf>
    <xf numFmtId="2" fontId="42" fillId="4" borderId="13" xfId="0" applyNumberFormat="1" applyFont="1" applyFill="1" applyBorder="1" applyAlignment="1">
      <alignment horizontal="center" vertical="center"/>
    </xf>
    <xf numFmtId="2" fontId="42" fillId="3" borderId="13" xfId="1" applyNumberFormat="1" applyFont="1" applyFill="1" applyBorder="1" applyAlignment="1">
      <alignment horizontal="center" vertical="center"/>
    </xf>
    <xf numFmtId="2" fontId="42" fillId="4" borderId="13" xfId="1" applyNumberFormat="1" applyFont="1" applyFill="1" applyBorder="1" applyAlignment="1">
      <alignment horizontal="center" vertical="center"/>
    </xf>
    <xf numFmtId="2" fontId="42" fillId="3" borderId="13" xfId="1" applyNumberFormat="1" applyFont="1" applyFill="1" applyBorder="1" applyAlignment="1">
      <alignment horizontal="center" vertical="center" shrinkToFit="1"/>
    </xf>
    <xf numFmtId="2" fontId="42" fillId="4" borderId="13" xfId="1" applyNumberFormat="1" applyFont="1" applyFill="1" applyBorder="1" applyAlignment="1">
      <alignment horizontal="center" vertical="center" shrinkToFit="1"/>
    </xf>
    <xf numFmtId="2" fontId="35" fillId="3" borderId="13" xfId="0" applyNumberFormat="1" applyFont="1" applyFill="1" applyBorder="1" applyAlignment="1">
      <alignment horizontal="center" vertical="center"/>
    </xf>
    <xf numFmtId="2" fontId="35" fillId="4" borderId="13" xfId="1" applyNumberFormat="1" applyFont="1" applyFill="1" applyBorder="1" applyAlignment="1">
      <alignment horizontal="center" vertical="center"/>
    </xf>
    <xf numFmtId="2" fontId="35" fillId="3" borderId="13" xfId="1" applyNumberFormat="1" applyFont="1" applyFill="1" applyBorder="1" applyAlignment="1">
      <alignment horizontal="center" vertical="center" shrinkToFit="1"/>
    </xf>
    <xf numFmtId="2" fontId="35" fillId="4" borderId="13" xfId="1" applyNumberFormat="1" applyFont="1" applyFill="1" applyBorder="1" applyAlignment="1">
      <alignment horizontal="center" vertical="center" shrinkToFit="1"/>
    </xf>
    <xf numFmtId="2" fontId="35" fillId="4" borderId="13" xfId="0" applyNumberFormat="1" applyFont="1" applyFill="1" applyBorder="1" applyAlignment="1">
      <alignment horizontal="center" vertical="center"/>
    </xf>
    <xf numFmtId="2" fontId="35" fillId="3" borderId="13" xfId="1" applyNumberFormat="1" applyFont="1" applyFill="1" applyBorder="1" applyAlignment="1">
      <alignment horizontal="center" vertical="center"/>
    </xf>
    <xf numFmtId="2" fontId="35" fillId="3" borderId="14" xfId="1" applyNumberFormat="1" applyFont="1" applyFill="1" applyBorder="1" applyAlignment="1">
      <alignment horizontal="center" vertical="center"/>
    </xf>
    <xf numFmtId="2" fontId="43" fillId="3" borderId="13" xfId="1" applyNumberFormat="1" applyFont="1" applyFill="1" applyBorder="1" applyAlignment="1">
      <alignment horizontal="center" vertical="center"/>
    </xf>
    <xf numFmtId="2" fontId="43" fillId="4" borderId="13" xfId="0" applyNumberFormat="1" applyFont="1" applyFill="1" applyBorder="1" applyAlignment="1">
      <alignment horizontal="center" vertical="center"/>
    </xf>
    <xf numFmtId="2" fontId="43" fillId="3" borderId="13" xfId="0" applyNumberFormat="1" applyFont="1" applyFill="1" applyBorder="1" applyAlignment="1">
      <alignment horizontal="center" vertical="center"/>
    </xf>
    <xf numFmtId="2" fontId="43" fillId="4" borderId="13" xfId="1" quotePrefix="1" applyNumberFormat="1" applyFont="1" applyFill="1" applyBorder="1" applyAlignment="1">
      <alignment horizontal="center" vertical="center" shrinkToFit="1"/>
    </xf>
    <xf numFmtId="2" fontId="43" fillId="3" borderId="13" xfId="1" quotePrefix="1" applyNumberFormat="1" applyFont="1" applyFill="1" applyBorder="1" applyAlignment="1">
      <alignment horizontal="center" vertical="center"/>
    </xf>
    <xf numFmtId="2" fontId="43" fillId="4" borderId="13" xfId="1" quotePrefix="1" applyNumberFormat="1" applyFont="1" applyFill="1" applyBorder="1" applyAlignment="1">
      <alignment horizontal="center" vertical="center"/>
    </xf>
    <xf numFmtId="2" fontId="43" fillId="3" borderId="14" xfId="0" applyNumberFormat="1" applyFont="1" applyFill="1" applyBorder="1" applyAlignment="1">
      <alignment horizontal="center" vertical="center"/>
    </xf>
    <xf numFmtId="2" fontId="41" fillId="3" borderId="2" xfId="1" applyNumberFormat="1" applyFont="1" applyFill="1" applyBorder="1" applyAlignment="1">
      <alignment horizontal="center" vertical="center"/>
    </xf>
    <xf numFmtId="2" fontId="41" fillId="3" borderId="3" xfId="1" applyNumberFormat="1" applyFont="1" applyFill="1" applyBorder="1" applyAlignment="1">
      <alignment horizontal="center" vertical="center"/>
    </xf>
    <xf numFmtId="2" fontId="41" fillId="4" borderId="2" xfId="1" applyNumberFormat="1" applyFont="1" applyFill="1" applyBorder="1" applyAlignment="1">
      <alignment horizontal="center" vertical="center"/>
    </xf>
    <xf numFmtId="2" fontId="41" fillId="4" borderId="3" xfId="1" applyNumberFormat="1" applyFont="1" applyFill="1" applyBorder="1" applyAlignment="1">
      <alignment horizontal="center" vertical="center"/>
    </xf>
    <xf numFmtId="2" fontId="41" fillId="4" borderId="2" xfId="0" applyNumberFormat="1" applyFont="1" applyFill="1" applyBorder="1" applyAlignment="1">
      <alignment horizontal="center" vertical="center"/>
    </xf>
    <xf numFmtId="2" fontId="41" fillId="4" borderId="3" xfId="0" quotePrefix="1" applyNumberFormat="1" applyFont="1" applyFill="1" applyBorder="1" applyAlignment="1">
      <alignment horizontal="center" vertical="center"/>
    </xf>
    <xf numFmtId="2" fontId="41" fillId="4" borderId="4" xfId="0" quotePrefix="1" applyNumberFormat="1" applyFont="1" applyFill="1" applyBorder="1" applyAlignment="1">
      <alignment horizontal="center" vertical="center"/>
    </xf>
    <xf numFmtId="2" fontId="41" fillId="3" borderId="3" xfId="1" quotePrefix="1" applyNumberFormat="1" applyFont="1" applyFill="1" applyBorder="1" applyAlignment="1">
      <alignment horizontal="center" vertical="center"/>
    </xf>
    <xf numFmtId="2" fontId="41" fillId="3" borderId="4" xfId="1" quotePrefix="1" applyNumberFormat="1" applyFont="1" applyFill="1" applyBorder="1" applyAlignment="1">
      <alignment horizontal="center" vertical="center"/>
    </xf>
    <xf numFmtId="2" fontId="41" fillId="4" borderId="3" xfId="1" quotePrefix="1" applyNumberFormat="1" applyFont="1" applyFill="1" applyBorder="1" applyAlignment="1">
      <alignment horizontal="center" vertical="center"/>
    </xf>
    <xf numFmtId="2" fontId="41" fillId="4" borderId="4" xfId="1" quotePrefix="1" applyNumberFormat="1" applyFont="1" applyFill="1" applyBorder="1" applyAlignment="1">
      <alignment horizontal="center" vertical="center"/>
    </xf>
    <xf numFmtId="2" fontId="41" fillId="3" borderId="2" xfId="0" applyNumberFormat="1" applyFont="1" applyFill="1" applyBorder="1" applyAlignment="1">
      <alignment horizontal="center" vertical="center"/>
    </xf>
    <xf numFmtId="2" fontId="41" fillId="3" borderId="3" xfId="0" quotePrefix="1" applyNumberFormat="1" applyFont="1" applyFill="1" applyBorder="1" applyAlignment="1">
      <alignment horizontal="center" vertical="center"/>
    </xf>
    <xf numFmtId="2" fontId="41" fillId="3" borderId="4" xfId="0" quotePrefix="1" applyNumberFormat="1" applyFont="1" applyFill="1" applyBorder="1" applyAlignment="1">
      <alignment horizontal="center" vertical="center"/>
    </xf>
    <xf numFmtId="2" fontId="41" fillId="4" borderId="2" xfId="0" quotePrefix="1" applyNumberFormat="1" applyFont="1" applyFill="1" applyBorder="1" applyAlignment="1">
      <alignment horizontal="center" vertical="center"/>
    </xf>
    <xf numFmtId="2" fontId="41" fillId="3" borderId="8" xfId="1" applyNumberFormat="1" applyFont="1" applyFill="1" applyBorder="1" applyAlignment="1">
      <alignment horizontal="center" vertical="center"/>
    </xf>
    <xf numFmtId="2" fontId="41" fillId="3" borderId="9" xfId="1" applyNumberFormat="1" applyFont="1" applyFill="1" applyBorder="1" applyAlignment="1">
      <alignment horizontal="center" vertical="center"/>
    </xf>
    <xf numFmtId="2" fontId="35" fillId="3" borderId="2" xfId="0" applyNumberFormat="1" applyFont="1" applyFill="1" applyBorder="1" applyAlignment="1">
      <alignment horizontal="center" vertical="center"/>
    </xf>
    <xf numFmtId="2" fontId="35" fillId="3" borderId="3" xfId="0" applyNumberFormat="1" applyFont="1" applyFill="1" applyBorder="1" applyAlignment="1">
      <alignment horizontal="center" vertical="center"/>
    </xf>
    <xf numFmtId="2" fontId="35" fillId="4" borderId="2" xfId="1" applyNumberFormat="1" applyFont="1" applyFill="1" applyBorder="1" applyAlignment="1">
      <alignment horizontal="center" vertical="center"/>
    </xf>
    <xf numFmtId="2" fontId="35" fillId="4" borderId="3" xfId="1" applyNumberFormat="1" applyFont="1" applyFill="1" applyBorder="1" applyAlignment="1">
      <alignment horizontal="center" vertical="center"/>
    </xf>
    <xf numFmtId="2" fontId="35" fillId="3" borderId="2" xfId="1" applyNumberFormat="1" applyFont="1" applyFill="1" applyBorder="1" applyAlignment="1">
      <alignment horizontal="center" vertical="center"/>
    </xf>
    <xf numFmtId="2" fontId="35" fillId="3" borderId="3" xfId="1" applyNumberFormat="1" applyFont="1" applyFill="1" applyBorder="1" applyAlignment="1">
      <alignment horizontal="center" vertical="center"/>
    </xf>
    <xf numFmtId="2" fontId="35" fillId="4" borderId="2" xfId="0" applyNumberFormat="1" applyFont="1" applyFill="1" applyBorder="1" applyAlignment="1">
      <alignment horizontal="center" vertical="center"/>
    </xf>
    <xf numFmtId="2" fontId="35" fillId="4" borderId="3" xfId="0" applyNumberFormat="1" applyFont="1" applyFill="1" applyBorder="1" applyAlignment="1">
      <alignment horizontal="center" vertical="center"/>
    </xf>
    <xf numFmtId="2" fontId="35" fillId="3" borderId="8" xfId="0" applyNumberFormat="1" applyFont="1" applyFill="1" applyBorder="1" applyAlignment="1">
      <alignment horizontal="center" vertical="center"/>
    </xf>
    <xf numFmtId="2" fontId="35" fillId="3" borderId="9" xfId="0" applyNumberFormat="1" applyFont="1" applyFill="1" applyBorder="1" applyAlignment="1">
      <alignment horizontal="center" vertical="center"/>
    </xf>
    <xf numFmtId="2" fontId="35" fillId="3" borderId="2" xfId="0" applyNumberFormat="1" applyFont="1" applyFill="1" applyBorder="1" applyAlignment="1">
      <alignment horizontal="center" vertical="center" shrinkToFit="1"/>
    </xf>
    <xf numFmtId="2" fontId="35" fillId="3" borderId="3" xfId="0" applyNumberFormat="1" applyFont="1" applyFill="1" applyBorder="1" applyAlignment="1">
      <alignment horizontal="center" vertical="center" shrinkToFit="1"/>
    </xf>
    <xf numFmtId="2" fontId="35" fillId="3" borderId="4" xfId="0" applyNumberFormat="1" applyFont="1" applyFill="1" applyBorder="1" applyAlignment="1">
      <alignment horizontal="center" vertical="center" shrinkToFit="1"/>
    </xf>
    <xf numFmtId="2" fontId="35" fillId="4" borderId="2" xfId="0" applyNumberFormat="1" applyFont="1" applyFill="1" applyBorder="1" applyAlignment="1">
      <alignment horizontal="center" vertical="center" shrinkToFit="1"/>
    </xf>
    <xf numFmtId="2" fontId="35" fillId="4" borderId="3" xfId="0" applyNumberFormat="1" applyFont="1" applyFill="1" applyBorder="1" applyAlignment="1">
      <alignment horizontal="center" vertical="center" shrinkToFit="1"/>
    </xf>
    <xf numFmtId="2" fontId="35" fillId="4" borderId="4" xfId="0" applyNumberFormat="1" applyFont="1" applyFill="1" applyBorder="1" applyAlignment="1">
      <alignment horizontal="center" vertical="center" shrinkToFit="1"/>
    </xf>
    <xf numFmtId="2" fontId="35" fillId="4" borderId="4" xfId="1" applyNumberFormat="1" applyFont="1" applyFill="1" applyBorder="1" applyAlignment="1">
      <alignment horizontal="center" vertical="center"/>
    </xf>
    <xf numFmtId="2" fontId="35" fillId="3" borderId="4" xfId="1" applyNumberFormat="1" applyFont="1" applyFill="1" applyBorder="1" applyAlignment="1">
      <alignment horizontal="center" vertical="center"/>
    </xf>
    <xf numFmtId="2" fontId="35" fillId="4" borderId="4" xfId="0" applyNumberFormat="1" applyFont="1" applyFill="1" applyBorder="1" applyAlignment="1">
      <alignment horizontal="center" vertical="center"/>
    </xf>
    <xf numFmtId="2" fontId="35" fillId="4" borderId="8" xfId="0" applyNumberFormat="1" applyFont="1" applyFill="1" applyBorder="1" applyAlignment="1">
      <alignment horizontal="center" vertical="center"/>
    </xf>
    <xf numFmtId="2" fontId="35" fillId="4" borderId="9" xfId="0" applyNumberFormat="1" applyFont="1" applyFill="1" applyBorder="1" applyAlignment="1">
      <alignment horizontal="center" vertical="center"/>
    </xf>
    <xf numFmtId="2" fontId="35" fillId="4" borderId="9" xfId="1" quotePrefix="1" applyNumberFormat="1" applyFont="1" applyFill="1" applyBorder="1" applyAlignment="1">
      <alignment horizontal="center" vertical="center"/>
    </xf>
    <xf numFmtId="2" fontId="35" fillId="4" borderId="10" xfId="1" quotePrefix="1" applyNumberFormat="1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2" fontId="22" fillId="3" borderId="10" xfId="0" applyNumberFormat="1" applyFont="1" applyFill="1" applyBorder="1" applyAlignment="1">
      <alignment horizontal="center" vertical="center"/>
    </xf>
    <xf numFmtId="2" fontId="25" fillId="3" borderId="13" xfId="1" quotePrefix="1" applyNumberFormat="1" applyFont="1" applyFill="1" applyBorder="1" applyAlignment="1">
      <alignment horizontal="center" vertical="center"/>
    </xf>
    <xf numFmtId="2" fontId="22" fillId="4" borderId="4" xfId="1" quotePrefix="1" applyNumberFormat="1" applyFont="1" applyFill="1" applyBorder="1" applyAlignment="1">
      <alignment horizontal="center" vertical="center" shrinkToFit="1"/>
    </xf>
    <xf numFmtId="0" fontId="23" fillId="4" borderId="3" xfId="0" applyFont="1" applyFill="1" applyBorder="1" applyAlignment="1">
      <alignment horizontal="center" vertical="center" shrinkToFit="1"/>
    </xf>
    <xf numFmtId="2" fontId="3" fillId="4" borderId="3" xfId="1" applyNumberFormat="1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 wrapText="1" shrinkToFit="1"/>
    </xf>
    <xf numFmtId="0" fontId="23" fillId="4" borderId="5" xfId="0" applyFont="1" applyFill="1" applyBorder="1" applyAlignment="1">
      <alignment horizontal="center" vertical="center" shrinkToFit="1"/>
    </xf>
    <xf numFmtId="2" fontId="3" fillId="3" borderId="2" xfId="1" applyNumberFormat="1" applyFont="1" applyFill="1" applyBorder="1" applyAlignment="1">
      <alignment horizontal="center" vertical="center"/>
    </xf>
    <xf numFmtId="2" fontId="3" fillId="4" borderId="2" xfId="1" applyNumberFormat="1" applyFont="1" applyFill="1" applyBorder="1" applyAlignment="1">
      <alignment horizontal="center" vertical="center"/>
    </xf>
    <xf numFmtId="2" fontId="3" fillId="4" borderId="8" xfId="1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 wrapText="1" shrinkToFit="1"/>
    </xf>
    <xf numFmtId="0" fontId="23" fillId="4" borderId="7" xfId="0" applyFont="1" applyFill="1" applyBorder="1" applyAlignment="1">
      <alignment horizontal="center" vertical="center" shrinkToFit="1"/>
    </xf>
    <xf numFmtId="2" fontId="3" fillId="3" borderId="0" xfId="0" applyNumberFormat="1" applyFont="1" applyFill="1" applyAlignment="1">
      <alignment horizontal="center" vertical="center" shrinkToFit="1"/>
    </xf>
    <xf numFmtId="0" fontId="3" fillId="4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3" fillId="4" borderId="3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 shrinkToFit="1"/>
    </xf>
    <xf numFmtId="49" fontId="22" fillId="3" borderId="3" xfId="0" applyNumberFormat="1" applyFont="1" applyFill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 shrinkToFit="1"/>
    </xf>
    <xf numFmtId="0" fontId="23" fillId="4" borderId="12" xfId="0" applyFont="1" applyFill="1" applyBorder="1" applyAlignment="1">
      <alignment horizontal="center" vertical="center" wrapText="1"/>
    </xf>
    <xf numFmtId="4" fontId="3" fillId="3" borderId="13" xfId="0" applyNumberFormat="1" applyFont="1" applyFill="1" applyBorder="1" applyAlignment="1">
      <alignment horizontal="center"/>
    </xf>
    <xf numFmtId="4" fontId="3" fillId="4" borderId="14" xfId="0" applyNumberFormat="1" applyFont="1" applyFill="1" applyBorder="1" applyAlignment="1">
      <alignment horizontal="center"/>
    </xf>
    <xf numFmtId="164" fontId="20" fillId="4" borderId="28" xfId="1" applyFont="1" applyFill="1" applyBorder="1" applyAlignment="1">
      <alignment horizontal="center" vertical="center" shrinkToFit="1"/>
    </xf>
    <xf numFmtId="0" fontId="23" fillId="3" borderId="15" xfId="0" applyFont="1" applyFill="1" applyBorder="1" applyAlignment="1">
      <alignment horizontal="center" vertical="center" wrapText="1"/>
    </xf>
    <xf numFmtId="4" fontId="3" fillId="3" borderId="15" xfId="0" applyNumberFormat="1" applyFont="1" applyFill="1" applyBorder="1" applyAlignment="1">
      <alignment horizontal="center"/>
    </xf>
    <xf numFmtId="0" fontId="14" fillId="3" borderId="0" xfId="0" applyFont="1" applyFill="1" applyAlignment="1">
      <alignment horizontal="left"/>
    </xf>
    <xf numFmtId="2" fontId="41" fillId="3" borderId="2" xfId="0" quotePrefix="1" applyNumberFormat="1" applyFont="1" applyFill="1" applyBorder="1" applyAlignment="1">
      <alignment horizontal="center" vertical="center"/>
    </xf>
    <xf numFmtId="164" fontId="24" fillId="4" borderId="7" xfId="1" applyFont="1" applyFill="1" applyBorder="1" applyAlignment="1">
      <alignment horizontal="center" vertical="center" shrinkToFit="1"/>
    </xf>
    <xf numFmtId="0" fontId="44" fillId="3" borderId="0" xfId="0" applyFont="1" applyFill="1"/>
    <xf numFmtId="0" fontId="45" fillId="3" borderId="0" xfId="0" applyFont="1" applyFill="1" applyAlignment="1">
      <alignment vertical="center" shrinkToFit="1"/>
    </xf>
    <xf numFmtId="2" fontId="44" fillId="3" borderId="0" xfId="0" applyNumberFormat="1" applyFont="1" applyFill="1" applyAlignment="1">
      <alignment horizontal="center" vertical="center"/>
    </xf>
    <xf numFmtId="0" fontId="20" fillId="4" borderId="7" xfId="0" applyFont="1" applyFill="1" applyBorder="1" applyAlignment="1">
      <alignment horizontal="center" vertical="center" wrapText="1"/>
    </xf>
    <xf numFmtId="0" fontId="3" fillId="3" borderId="0" xfId="0" quotePrefix="1" applyFont="1" applyFill="1" applyAlignment="1">
      <alignment horizontal="center" vertical="center"/>
    </xf>
    <xf numFmtId="2" fontId="3" fillId="3" borderId="0" xfId="0" quotePrefix="1" applyNumberFormat="1" applyFont="1" applyFill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2" fontId="2" fillId="4" borderId="9" xfId="1" applyNumberFormat="1" applyFont="1" applyFill="1" applyBorder="1" applyAlignment="1">
      <alignment horizontal="center" vertical="center"/>
    </xf>
    <xf numFmtId="2" fontId="2" fillId="4" borderId="10" xfId="1" quotePrefix="1" applyNumberFormat="1" applyFont="1" applyFill="1" applyBorder="1" applyAlignment="1">
      <alignment horizontal="center" vertical="center"/>
    </xf>
    <xf numFmtId="2" fontId="3" fillId="4" borderId="10" xfId="1" quotePrefix="1" applyNumberFormat="1" applyFont="1" applyFill="1" applyBorder="1" applyAlignment="1">
      <alignment horizontal="center" vertical="center"/>
    </xf>
    <xf numFmtId="2" fontId="25" fillId="4" borderId="14" xfId="0" quotePrefix="1" applyNumberFormat="1" applyFont="1" applyFill="1" applyBorder="1" applyAlignment="1">
      <alignment horizontal="center" vertical="center"/>
    </xf>
    <xf numFmtId="2" fontId="23" fillId="4" borderId="8" xfId="0" quotePrefix="1" applyNumberFormat="1" applyFont="1" applyFill="1" applyBorder="1" applyAlignment="1">
      <alignment horizontal="center" vertical="center"/>
    </xf>
    <xf numFmtId="2" fontId="3" fillId="4" borderId="10" xfId="0" quotePrefix="1" applyNumberFormat="1" applyFont="1" applyFill="1" applyBorder="1" applyAlignment="1">
      <alignment horizontal="center" vertical="center"/>
    </xf>
    <xf numFmtId="2" fontId="22" fillId="3" borderId="2" xfId="1" applyNumberFormat="1" applyFont="1" applyFill="1" applyBorder="1" applyAlignment="1">
      <alignment horizontal="center" vertical="center" shrinkToFit="1"/>
    </xf>
    <xf numFmtId="2" fontId="22" fillId="3" borderId="4" xfId="1" quotePrefix="1" applyNumberFormat="1" applyFont="1" applyFill="1" applyBorder="1" applyAlignment="1">
      <alignment horizontal="center" vertical="center" shrinkToFit="1"/>
    </xf>
    <xf numFmtId="2" fontId="22" fillId="3" borderId="8" xfId="1" applyNumberFormat="1" applyFont="1" applyFill="1" applyBorder="1" applyAlignment="1">
      <alignment horizontal="center" vertical="center" shrinkToFit="1"/>
    </xf>
    <xf numFmtId="2" fontId="22" fillId="3" borderId="10" xfId="1" quotePrefix="1" applyNumberFormat="1" applyFont="1" applyFill="1" applyBorder="1" applyAlignment="1">
      <alignment horizontal="center" vertical="center" shrinkToFit="1"/>
    </xf>
    <xf numFmtId="2" fontId="22" fillId="4" borderId="2" xfId="1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 shrinkToFit="1"/>
    </xf>
    <xf numFmtId="0" fontId="2" fillId="3" borderId="0" xfId="0" applyFont="1" applyFill="1" applyAlignment="1">
      <alignment horizontal="left"/>
    </xf>
    <xf numFmtId="0" fontId="20" fillId="3" borderId="2" xfId="0" applyFont="1" applyFill="1" applyBorder="1" applyAlignment="1">
      <alignment horizontal="left" vertical="center"/>
    </xf>
    <xf numFmtId="2" fontId="2" fillId="3" borderId="4" xfId="2" applyNumberFormat="1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2" fontId="2" fillId="4" borderId="4" xfId="2" applyNumberFormat="1" applyFont="1" applyFill="1" applyBorder="1" applyAlignment="1">
      <alignment horizontal="left" vertical="center"/>
    </xf>
    <xf numFmtId="164" fontId="24" fillId="4" borderId="6" xfId="1" applyFont="1" applyFill="1" applyBorder="1" applyAlignment="1">
      <alignment horizontal="center" vertical="center" shrinkToFit="1"/>
    </xf>
    <xf numFmtId="2" fontId="2" fillId="3" borderId="3" xfId="2" applyNumberFormat="1" applyFont="1" applyFill="1" applyBorder="1" applyAlignment="1">
      <alignment horizontal="left" vertical="center"/>
    </xf>
    <xf numFmtId="2" fontId="2" fillId="4" borderId="3" xfId="2" applyNumberFormat="1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left" vertical="center"/>
    </xf>
    <xf numFmtId="0" fontId="24" fillId="4" borderId="2" xfId="0" quotePrefix="1" applyFont="1" applyFill="1" applyBorder="1" applyAlignment="1">
      <alignment horizontal="center" vertical="top" wrapText="1"/>
    </xf>
    <xf numFmtId="0" fontId="20" fillId="3" borderId="2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2" fontId="24" fillId="3" borderId="3" xfId="0" applyNumberFormat="1" applyFont="1" applyFill="1" applyBorder="1" applyAlignment="1">
      <alignment horizontal="center" vertical="center" wrapText="1"/>
    </xf>
    <xf numFmtId="2" fontId="25" fillId="3" borderId="4" xfId="0" applyNumberFormat="1" applyFont="1" applyFill="1" applyBorder="1" applyAlignment="1">
      <alignment horizontal="center" vertical="center" wrapText="1"/>
    </xf>
    <xf numFmtId="2" fontId="3" fillId="3" borderId="4" xfId="0" quotePrefix="1" applyNumberFormat="1" applyFont="1" applyFill="1" applyBorder="1" applyAlignment="1">
      <alignment horizontal="center" vertical="center" wrapText="1"/>
    </xf>
    <xf numFmtId="2" fontId="24" fillId="4" borderId="4" xfId="0" applyNumberFormat="1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2" fontId="23" fillId="4" borderId="13" xfId="0" quotePrefix="1" applyNumberFormat="1" applyFont="1" applyFill="1" applyBorder="1" applyAlignment="1">
      <alignment horizontal="center" vertical="center"/>
    </xf>
    <xf numFmtId="2" fontId="23" fillId="3" borderId="13" xfId="0" quotePrefix="1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vertical="center"/>
    </xf>
    <xf numFmtId="2" fontId="24" fillId="3" borderId="4" xfId="0" applyNumberFormat="1" applyFont="1" applyFill="1" applyBorder="1" applyAlignment="1">
      <alignment horizontal="center" vertical="center"/>
    </xf>
    <xf numFmtId="2" fontId="3" fillId="3" borderId="12" xfId="0" applyNumberFormat="1" applyFont="1" applyFill="1" applyBorder="1" applyAlignment="1">
      <alignment horizontal="center" vertical="center" shrinkToFit="1"/>
    </xf>
    <xf numFmtId="2" fontId="3" fillId="4" borderId="13" xfId="0" applyNumberFormat="1" applyFont="1" applyFill="1" applyBorder="1" applyAlignment="1">
      <alignment horizontal="center" vertical="center" shrinkToFit="1"/>
    </xf>
    <xf numFmtId="2" fontId="3" fillId="3" borderId="14" xfId="0" applyNumberFormat="1" applyFont="1" applyFill="1" applyBorder="1" applyAlignment="1">
      <alignment horizontal="center" vertical="center" shrinkToFit="1"/>
    </xf>
    <xf numFmtId="2" fontId="22" fillId="3" borderId="14" xfId="0" quotePrefix="1" applyNumberFormat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 shrinkToFit="1"/>
    </xf>
    <xf numFmtId="165" fontId="22" fillId="3" borderId="10" xfId="0" applyNumberFormat="1" applyFont="1" applyFill="1" applyBorder="1" applyAlignment="1">
      <alignment horizontal="center" vertical="center"/>
    </xf>
    <xf numFmtId="2" fontId="2" fillId="3" borderId="2" xfId="0" quotePrefix="1" applyNumberFormat="1" applyFont="1" applyFill="1" applyBorder="1" applyAlignment="1">
      <alignment horizontal="center" vertical="center"/>
    </xf>
    <xf numFmtId="2" fontId="2" fillId="4" borderId="2" xfId="0" quotePrefix="1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49" fontId="30" fillId="0" borderId="17" xfId="0" applyNumberFormat="1" applyFont="1" applyBorder="1" applyAlignment="1">
      <alignment horizontal="center" vertical="center"/>
    </xf>
    <xf numFmtId="49" fontId="30" fillId="0" borderId="18" xfId="0" applyNumberFormat="1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10" fontId="5" fillId="0" borderId="0" xfId="0" applyNumberFormat="1" applyFont="1" applyAlignment="1" applyProtection="1">
      <alignment horizontal="center" vertical="center" shrinkToFit="1"/>
      <protection locked="0"/>
    </xf>
    <xf numFmtId="0" fontId="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right" vertical="center"/>
    </xf>
    <xf numFmtId="0" fontId="25" fillId="3" borderId="9" xfId="0" applyFont="1" applyFill="1" applyBorder="1" applyAlignment="1">
      <alignment horizontal="right" vertical="center"/>
    </xf>
    <xf numFmtId="2" fontId="25" fillId="3" borderId="3" xfId="0" applyNumberFormat="1" applyFont="1" applyFill="1" applyBorder="1" applyAlignment="1">
      <alignment horizontal="center" vertical="center"/>
    </xf>
    <xf numFmtId="2" fontId="25" fillId="3" borderId="4" xfId="0" applyNumberFormat="1" applyFont="1" applyFill="1" applyBorder="1" applyAlignment="1">
      <alignment horizontal="center" vertical="center"/>
    </xf>
    <xf numFmtId="2" fontId="25" fillId="4" borderId="3" xfId="0" applyNumberFormat="1" applyFont="1" applyFill="1" applyBorder="1" applyAlignment="1">
      <alignment horizontal="center" vertical="center"/>
    </xf>
    <xf numFmtId="2" fontId="25" fillId="4" borderId="4" xfId="0" applyNumberFormat="1" applyFont="1" applyFill="1" applyBorder="1" applyAlignment="1">
      <alignment horizontal="center" vertical="center"/>
    </xf>
    <xf numFmtId="2" fontId="24" fillId="3" borderId="3" xfId="0" applyNumberFormat="1" applyFont="1" applyFill="1" applyBorder="1" applyAlignment="1">
      <alignment horizontal="center" vertical="center"/>
    </xf>
    <xf numFmtId="2" fontId="24" fillId="4" borderId="3" xfId="0" applyNumberFormat="1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 wrapText="1"/>
    </xf>
    <xf numFmtId="0" fontId="46" fillId="4" borderId="2" xfId="0" applyFont="1" applyFill="1" applyBorder="1" applyAlignment="1">
      <alignment horizontal="center" vertical="center"/>
    </xf>
    <xf numFmtId="0" fontId="46" fillId="4" borderId="3" xfId="0" applyFont="1" applyFill="1" applyBorder="1" applyAlignment="1">
      <alignment horizontal="center" vertical="center"/>
    </xf>
    <xf numFmtId="0" fontId="46" fillId="4" borderId="4" xfId="0" applyFont="1" applyFill="1" applyBorder="1" applyAlignment="1">
      <alignment horizontal="center" vertical="center"/>
    </xf>
    <xf numFmtId="0" fontId="46" fillId="4" borderId="5" xfId="0" applyFont="1" applyFill="1" applyBorder="1" applyAlignment="1">
      <alignment horizontal="center" vertical="center"/>
    </xf>
    <xf numFmtId="0" fontId="46" fillId="4" borderId="6" xfId="0" applyFont="1" applyFill="1" applyBorder="1" applyAlignment="1">
      <alignment horizontal="center" vertical="center"/>
    </xf>
    <xf numFmtId="0" fontId="46" fillId="4" borderId="7" xfId="0" applyFont="1" applyFill="1" applyBorder="1" applyAlignment="1">
      <alignment horizontal="center" vertical="center"/>
    </xf>
    <xf numFmtId="10" fontId="25" fillId="3" borderId="9" xfId="0" applyNumberFormat="1" applyFont="1" applyFill="1" applyBorder="1" applyAlignment="1">
      <alignment horizontal="center" vertical="center"/>
    </xf>
    <xf numFmtId="10" fontId="25" fillId="3" borderId="10" xfId="0" applyNumberFormat="1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2" fontId="2" fillId="4" borderId="2" xfId="0" quotePrefix="1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2" fontId="2" fillId="3" borderId="2" xfId="0" quotePrefix="1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20" fillId="4" borderId="9" xfId="0" applyFont="1" applyFill="1" applyBorder="1" applyAlignment="1">
      <alignment horizontal="left" vertical="center"/>
    </xf>
    <xf numFmtId="2" fontId="2" fillId="3" borderId="23" xfId="0" quotePrefix="1" applyNumberFormat="1" applyFont="1" applyFill="1" applyBorder="1" applyAlignment="1">
      <alignment horizontal="center" vertical="center"/>
    </xf>
    <xf numFmtId="2" fontId="2" fillId="3" borderId="22" xfId="0" applyNumberFormat="1" applyFont="1" applyFill="1" applyBorder="1" applyAlignment="1">
      <alignment horizontal="center" vertical="center"/>
    </xf>
    <xf numFmtId="2" fontId="2" fillId="4" borderId="27" xfId="0" quotePrefix="1" applyNumberFormat="1" applyFont="1" applyFill="1" applyBorder="1" applyAlignment="1">
      <alignment horizontal="center" vertical="center"/>
    </xf>
    <xf numFmtId="2" fontId="2" fillId="4" borderId="25" xfId="0" applyNumberFormat="1" applyFont="1" applyFill="1" applyBorder="1" applyAlignment="1">
      <alignment horizontal="center" vertical="center"/>
    </xf>
    <xf numFmtId="4" fontId="44" fillId="4" borderId="3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9" fillId="4" borderId="2" xfId="0" applyFont="1" applyFill="1" applyBorder="1" applyAlignment="1">
      <alignment horizontal="center" vertical="center" shrinkToFit="1"/>
    </xf>
    <xf numFmtId="0" fontId="39" fillId="4" borderId="3" xfId="0" applyFont="1" applyFill="1" applyBorder="1" applyAlignment="1">
      <alignment horizontal="center" vertical="center" shrinkToFit="1"/>
    </xf>
    <xf numFmtId="0" fontId="39" fillId="4" borderId="4" xfId="0" applyFont="1" applyFill="1" applyBorder="1" applyAlignment="1">
      <alignment horizontal="center" vertical="center" shrinkToFit="1"/>
    </xf>
    <xf numFmtId="0" fontId="20" fillId="4" borderId="2" xfId="0" applyFont="1" applyFill="1" applyBorder="1" applyAlignment="1">
      <alignment horizontal="center" vertical="center" shrinkToFit="1"/>
    </xf>
    <xf numFmtId="0" fontId="20" fillId="4" borderId="3" xfId="0" applyFont="1" applyFill="1" applyBorder="1" applyAlignment="1">
      <alignment horizontal="center" vertical="center" shrinkToFit="1"/>
    </xf>
    <xf numFmtId="0" fontId="20" fillId="4" borderId="4" xfId="0" applyFont="1" applyFill="1" applyBorder="1" applyAlignment="1">
      <alignment horizontal="center" vertical="center" shrinkToFit="1"/>
    </xf>
    <xf numFmtId="0" fontId="25" fillId="3" borderId="2" xfId="0" quotePrefix="1" applyFont="1" applyFill="1" applyBorder="1" applyAlignment="1">
      <alignment horizontal="center" vertical="top" wrapText="1"/>
    </xf>
    <xf numFmtId="0" fontId="25" fillId="3" borderId="2" xfId="0" applyFont="1" applyFill="1" applyBorder="1" applyAlignment="1">
      <alignment horizontal="center" vertical="top"/>
    </xf>
    <xf numFmtId="164" fontId="24" fillId="4" borderId="3" xfId="1" applyFont="1" applyFill="1" applyBorder="1" applyAlignment="1">
      <alignment horizontal="center" vertical="center" shrinkToFit="1"/>
    </xf>
    <xf numFmtId="2" fontId="24" fillId="4" borderId="4" xfId="0" applyNumberFormat="1" applyFont="1" applyFill="1" applyBorder="1" applyAlignment="1">
      <alignment horizontal="center" vertical="center"/>
    </xf>
    <xf numFmtId="4" fontId="44" fillId="3" borderId="3" xfId="0" applyNumberFormat="1" applyFont="1" applyFill="1" applyBorder="1" applyAlignment="1">
      <alignment horizontal="center" vertical="center"/>
    </xf>
    <xf numFmtId="4" fontId="44" fillId="4" borderId="4" xfId="0" applyNumberFormat="1" applyFont="1" applyFill="1" applyBorder="1" applyAlignment="1">
      <alignment horizontal="center" vertical="center"/>
    </xf>
    <xf numFmtId="4" fontId="44" fillId="3" borderId="4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left" vertical="center"/>
    </xf>
    <xf numFmtId="2" fontId="2" fillId="3" borderId="3" xfId="0" applyNumberFormat="1" applyFont="1" applyFill="1" applyBorder="1" applyAlignment="1">
      <alignment horizontal="left" vertical="center"/>
    </xf>
    <xf numFmtId="2" fontId="2" fillId="3" borderId="4" xfId="0" applyNumberFormat="1" applyFont="1" applyFill="1" applyBorder="1" applyAlignment="1">
      <alignment horizontal="left" vertical="center"/>
    </xf>
    <xf numFmtId="2" fontId="2" fillId="4" borderId="2" xfId="0" applyNumberFormat="1" applyFont="1" applyFill="1" applyBorder="1" applyAlignment="1">
      <alignment horizontal="left" vertical="center"/>
    </xf>
    <xf numFmtId="2" fontId="2" fillId="4" borderId="3" xfId="0" applyNumberFormat="1" applyFont="1" applyFill="1" applyBorder="1" applyAlignment="1">
      <alignment horizontal="left" vertical="center"/>
    </xf>
    <xf numFmtId="2" fontId="2" fillId="4" borderId="4" xfId="0" applyNumberFormat="1" applyFont="1" applyFill="1" applyBorder="1" applyAlignment="1">
      <alignment horizontal="left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3" borderId="8" xfId="0" quotePrefix="1" applyNumberFormat="1" applyFont="1" applyFill="1" applyBorder="1" applyAlignment="1">
      <alignment horizontal="left" vertical="center"/>
    </xf>
    <xf numFmtId="2" fontId="2" fillId="3" borderId="9" xfId="0" applyNumberFormat="1" applyFont="1" applyFill="1" applyBorder="1" applyAlignment="1">
      <alignment horizontal="left" vertical="center"/>
    </xf>
    <xf numFmtId="2" fontId="2" fillId="3" borderId="10" xfId="0" applyNumberFormat="1" applyFont="1" applyFill="1" applyBorder="1" applyAlignment="1">
      <alignment horizontal="left" vertical="center"/>
    </xf>
    <xf numFmtId="2" fontId="2" fillId="3" borderId="2" xfId="0" quotePrefix="1" applyNumberFormat="1" applyFont="1" applyFill="1" applyBorder="1" applyAlignment="1">
      <alignment horizontal="left" vertical="center"/>
    </xf>
    <xf numFmtId="2" fontId="2" fillId="4" borderId="3" xfId="0" applyNumberFormat="1" applyFont="1" applyFill="1" applyBorder="1" applyAlignment="1">
      <alignment horizontal="center" vertical="center"/>
    </xf>
    <xf numFmtId="2" fontId="2" fillId="4" borderId="2" xfId="0" quotePrefix="1" applyNumberFormat="1" applyFont="1" applyFill="1" applyBorder="1" applyAlignment="1">
      <alignment horizontal="left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49" fontId="26" fillId="3" borderId="2" xfId="0" applyNumberFormat="1" applyFont="1" applyFill="1" applyBorder="1" applyAlignment="1">
      <alignment horizontal="center" vertical="center"/>
    </xf>
    <xf numFmtId="49" fontId="26" fillId="3" borderId="3" xfId="0" applyNumberFormat="1" applyFont="1" applyFill="1" applyBorder="1" applyAlignment="1">
      <alignment horizontal="center" vertical="center"/>
    </xf>
    <xf numFmtId="49" fontId="26" fillId="3" borderId="4" xfId="0" applyNumberFormat="1" applyFont="1" applyFill="1" applyBorder="1" applyAlignment="1">
      <alignment horizontal="center" vertical="center"/>
    </xf>
    <xf numFmtId="49" fontId="26" fillId="3" borderId="2" xfId="0" applyNumberFormat="1" applyFont="1" applyFill="1" applyBorder="1" applyAlignment="1">
      <alignment horizontal="center" vertical="center" wrapText="1"/>
    </xf>
    <xf numFmtId="49" fontId="26" fillId="3" borderId="3" xfId="0" applyNumberFormat="1" applyFont="1" applyFill="1" applyBorder="1" applyAlignment="1">
      <alignment horizontal="center" vertical="center" wrapText="1"/>
    </xf>
    <xf numFmtId="49" fontId="26" fillId="3" borderId="4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2" fillId="4" borderId="2" xfId="0" applyFont="1" applyFill="1" applyBorder="1" applyAlignment="1">
      <alignment horizontal="center" vertical="center" shrinkToFit="1"/>
    </xf>
    <xf numFmtId="0" fontId="32" fillId="4" borderId="3" xfId="0" applyFont="1" applyFill="1" applyBorder="1" applyAlignment="1">
      <alignment horizontal="center" vertical="center" shrinkToFit="1"/>
    </xf>
    <xf numFmtId="0" fontId="32" fillId="4" borderId="4" xfId="0" applyFont="1" applyFill="1" applyBorder="1" applyAlignment="1">
      <alignment horizontal="center" vertical="center" shrinkToFit="1"/>
    </xf>
    <xf numFmtId="0" fontId="4" fillId="4" borderId="2" xfId="0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shrinkToFit="1"/>
    </xf>
    <xf numFmtId="0" fontId="4" fillId="4" borderId="4" xfId="0" applyFont="1" applyFill="1" applyBorder="1" applyAlignment="1">
      <alignment horizontal="center" vertical="center" shrinkToFit="1"/>
    </xf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3" borderId="8" xfId="0" applyNumberFormat="1" applyFont="1" applyFill="1" applyBorder="1" applyAlignment="1">
      <alignment horizontal="center"/>
    </xf>
    <xf numFmtId="49" fontId="2" fillId="3" borderId="9" xfId="0" applyNumberFormat="1" applyFont="1" applyFill="1" applyBorder="1" applyAlignment="1">
      <alignment horizontal="center"/>
    </xf>
    <xf numFmtId="0" fontId="24" fillId="3" borderId="3" xfId="0" quotePrefix="1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49" fontId="26" fillId="3" borderId="8" xfId="0" applyNumberFormat="1" applyFont="1" applyFill="1" applyBorder="1" applyAlignment="1">
      <alignment horizontal="center" vertical="center" wrapText="1"/>
    </xf>
    <xf numFmtId="49" fontId="26" fillId="3" borderId="9" xfId="0" applyNumberFormat="1" applyFont="1" applyFill="1" applyBorder="1" applyAlignment="1">
      <alignment horizontal="center" vertical="center" wrapText="1"/>
    </xf>
    <xf numFmtId="49" fontId="26" fillId="3" borderId="10" xfId="0" applyNumberFormat="1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shrinkToFit="1"/>
    </xf>
    <xf numFmtId="0" fontId="33" fillId="4" borderId="3" xfId="0" applyFont="1" applyFill="1" applyBorder="1" applyAlignment="1">
      <alignment horizontal="center" vertical="center" shrinkToFit="1"/>
    </xf>
    <xf numFmtId="0" fontId="33" fillId="4" borderId="4" xfId="0" applyFont="1" applyFill="1" applyBorder="1" applyAlignment="1">
      <alignment horizontal="center" vertical="center" shrinkToFit="1"/>
    </xf>
    <xf numFmtId="49" fontId="28" fillId="3" borderId="2" xfId="0" applyNumberFormat="1" applyFont="1" applyFill="1" applyBorder="1" applyAlignment="1">
      <alignment horizontal="center" vertical="center" wrapText="1"/>
    </xf>
    <xf numFmtId="49" fontId="28" fillId="3" borderId="3" xfId="0" applyNumberFormat="1" applyFont="1" applyFill="1" applyBorder="1" applyAlignment="1">
      <alignment horizontal="center" vertical="center" wrapText="1"/>
    </xf>
    <xf numFmtId="49" fontId="28" fillId="3" borderId="4" xfId="0" applyNumberFormat="1" applyFont="1" applyFill="1" applyBorder="1" applyAlignment="1">
      <alignment horizontal="center" vertical="center" wrapText="1"/>
    </xf>
    <xf numFmtId="49" fontId="28" fillId="3" borderId="8" xfId="0" applyNumberFormat="1" applyFont="1" applyFill="1" applyBorder="1" applyAlignment="1">
      <alignment horizontal="center" vertical="center" wrapText="1"/>
    </xf>
    <xf numFmtId="49" fontId="28" fillId="3" borderId="9" xfId="0" applyNumberFormat="1" applyFont="1" applyFill="1" applyBorder="1" applyAlignment="1">
      <alignment horizontal="center" vertical="center" wrapText="1"/>
    </xf>
    <xf numFmtId="49" fontId="28" fillId="3" borderId="10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/>
    </xf>
    <xf numFmtId="49" fontId="2" fillId="3" borderId="10" xfId="0" applyNumberFormat="1" applyFont="1" applyFill="1" applyBorder="1" applyAlignment="1">
      <alignment horizontal="center"/>
    </xf>
    <xf numFmtId="49" fontId="28" fillId="3" borderId="2" xfId="0" applyNumberFormat="1" applyFont="1" applyFill="1" applyBorder="1" applyAlignment="1">
      <alignment horizontal="center" vertical="center"/>
    </xf>
    <xf numFmtId="49" fontId="28" fillId="3" borderId="3" xfId="0" applyNumberFormat="1" applyFont="1" applyFill="1" applyBorder="1" applyAlignment="1">
      <alignment horizontal="center" vertical="center"/>
    </xf>
    <xf numFmtId="49" fontId="28" fillId="3" borderId="4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2" fontId="2" fillId="4" borderId="3" xfId="1" applyNumberFormat="1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2" fontId="2" fillId="3" borderId="3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4" borderId="5" xfId="0" applyFont="1" applyFill="1" applyBorder="1" applyAlignment="1">
      <alignment horizontal="center" vertical="center" shrinkToFit="1"/>
    </xf>
    <xf numFmtId="0" fontId="4" fillId="4" borderId="6" xfId="0" applyFont="1" applyFill="1" applyBorder="1" applyAlignment="1">
      <alignment horizontal="center" vertical="center" shrinkToFit="1"/>
    </xf>
    <xf numFmtId="0" fontId="4" fillId="4" borderId="7" xfId="0" applyFont="1" applyFill="1" applyBorder="1" applyAlignment="1">
      <alignment horizontal="center" vertical="center" shrinkToFit="1"/>
    </xf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shrinkToFit="1"/>
    </xf>
    <xf numFmtId="0" fontId="2" fillId="4" borderId="3" xfId="0" applyFont="1" applyFill="1" applyBorder="1" applyAlignment="1">
      <alignment horizontal="center" vertical="center" shrinkToFit="1"/>
    </xf>
    <xf numFmtId="2" fontId="2" fillId="4" borderId="3" xfId="1" applyNumberFormat="1" applyFont="1" applyFill="1" applyBorder="1" applyAlignment="1">
      <alignment horizontal="center" vertical="center"/>
    </xf>
    <xf numFmtId="2" fontId="2" fillId="3" borderId="3" xfId="1" applyNumberFormat="1" applyFont="1" applyFill="1" applyBorder="1" applyAlignment="1">
      <alignment horizontal="center" vertical="center" shrinkToFit="1"/>
    </xf>
    <xf numFmtId="2" fontId="2" fillId="4" borderId="3" xfId="1" quotePrefix="1" applyNumberFormat="1" applyFont="1" applyFill="1" applyBorder="1" applyAlignment="1">
      <alignment horizontal="center" vertical="center"/>
    </xf>
    <xf numFmtId="0" fontId="2" fillId="3" borderId="3" xfId="0" quotePrefix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/>
    </xf>
    <xf numFmtId="0" fontId="14" fillId="4" borderId="9" xfId="0" applyFont="1" applyFill="1" applyBorder="1" applyAlignment="1">
      <alignment horizontal="left"/>
    </xf>
    <xf numFmtId="4" fontId="2" fillId="4" borderId="9" xfId="0" applyNumberFormat="1" applyFont="1" applyFill="1" applyBorder="1" applyAlignment="1">
      <alignment horizontal="center"/>
    </xf>
    <xf numFmtId="4" fontId="14" fillId="4" borderId="10" xfId="0" applyNumberFormat="1" applyFont="1" applyFill="1" applyBorder="1" applyAlignment="1">
      <alignment horizontal="center"/>
    </xf>
    <xf numFmtId="4" fontId="2" fillId="4" borderId="27" xfId="0" applyNumberFormat="1" applyFont="1" applyFill="1" applyBorder="1" applyAlignment="1">
      <alignment horizontal="center"/>
    </xf>
    <xf numFmtId="4" fontId="14" fillId="4" borderId="25" xfId="0" applyNumberFormat="1" applyFont="1" applyFill="1" applyBorder="1" applyAlignment="1">
      <alignment horizontal="center"/>
    </xf>
    <xf numFmtId="0" fontId="31" fillId="4" borderId="2" xfId="0" applyFont="1" applyFill="1" applyBorder="1" applyAlignment="1">
      <alignment horizontal="center" vertical="center" shrinkToFit="1"/>
    </xf>
    <xf numFmtId="0" fontId="31" fillId="4" borderId="3" xfId="0" applyFont="1" applyFill="1" applyBorder="1" applyAlignment="1">
      <alignment horizontal="center" vertical="center" shrinkToFit="1"/>
    </xf>
    <xf numFmtId="0" fontId="31" fillId="4" borderId="4" xfId="0" applyFont="1" applyFill="1" applyBorder="1" applyAlignment="1">
      <alignment horizontal="center" vertical="center" shrinkToFit="1"/>
    </xf>
    <xf numFmtId="0" fontId="21" fillId="4" borderId="2" xfId="0" applyFont="1" applyFill="1" applyBorder="1" applyAlignment="1">
      <alignment horizontal="center" vertical="center" shrinkToFit="1"/>
    </xf>
    <xf numFmtId="0" fontId="21" fillId="4" borderId="3" xfId="0" applyFont="1" applyFill="1" applyBorder="1" applyAlignment="1">
      <alignment horizontal="center" vertical="center" shrinkToFi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4" fontId="2" fillId="3" borderId="3" xfId="0" applyNumberFormat="1" applyFont="1" applyFill="1" applyBorder="1" applyAlignment="1">
      <alignment horizontal="center"/>
    </xf>
    <xf numFmtId="4" fontId="14" fillId="3" borderId="4" xfId="0" applyNumberFormat="1" applyFont="1" applyFill="1" applyBorder="1" applyAlignment="1">
      <alignment horizontal="center"/>
    </xf>
    <xf numFmtId="4" fontId="2" fillId="3" borderId="23" xfId="0" applyNumberFormat="1" applyFont="1" applyFill="1" applyBorder="1" applyAlignment="1">
      <alignment horizontal="center"/>
    </xf>
    <xf numFmtId="4" fontId="14" fillId="3" borderId="22" xfId="0" applyNumberFormat="1" applyFont="1" applyFill="1" applyBorder="1" applyAlignment="1">
      <alignment horizontal="center"/>
    </xf>
    <xf numFmtId="0" fontId="31" fillId="4" borderId="5" xfId="0" applyFont="1" applyFill="1" applyBorder="1" applyAlignment="1">
      <alignment horizontal="center" vertical="center" shrinkToFit="1"/>
    </xf>
    <xf numFmtId="0" fontId="31" fillId="4" borderId="6" xfId="0" applyFont="1" applyFill="1" applyBorder="1" applyAlignment="1">
      <alignment horizontal="center" vertical="center" shrinkToFit="1"/>
    </xf>
    <xf numFmtId="0" fontId="31" fillId="4" borderId="7" xfId="0" applyFont="1" applyFill="1" applyBorder="1" applyAlignment="1">
      <alignment horizontal="center" vertical="center" shrinkToFit="1"/>
    </xf>
    <xf numFmtId="0" fontId="20" fillId="4" borderId="2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2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23" fillId="4" borderId="3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31" xfId="0" applyFont="1" applyFill="1" applyBorder="1" applyAlignment="1">
      <alignment horizontal="left" vertical="center"/>
    </xf>
    <xf numFmtId="0" fontId="3" fillId="3" borderId="3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shrinkToFit="1"/>
    </xf>
    <xf numFmtId="0" fontId="4" fillId="4" borderId="31" xfId="0" applyFont="1" applyFill="1" applyBorder="1" applyAlignment="1">
      <alignment horizontal="center" vertical="center" shrinkToFit="1"/>
    </xf>
    <xf numFmtId="0" fontId="4" fillId="4" borderId="22" xfId="0" applyFont="1" applyFill="1" applyBorder="1" applyAlignment="1">
      <alignment horizontal="center" vertical="center" shrinkToFit="1"/>
    </xf>
    <xf numFmtId="0" fontId="23" fillId="4" borderId="11" xfId="0" applyFont="1" applyFill="1" applyBorder="1" applyAlignment="1">
      <alignment horizontal="center" vertical="center"/>
    </xf>
    <xf numFmtId="0" fontId="23" fillId="4" borderId="31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 shrinkToFit="1"/>
    </xf>
    <xf numFmtId="0" fontId="23" fillId="4" borderId="30" xfId="0" applyFont="1" applyFill="1" applyBorder="1" applyAlignment="1">
      <alignment horizontal="center" vertical="center" shrinkToFit="1"/>
    </xf>
    <xf numFmtId="0" fontId="28" fillId="3" borderId="2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31" xfId="0" applyFont="1" applyFill="1" applyBorder="1" applyAlignment="1">
      <alignment horizontal="left" vertical="center"/>
    </xf>
    <xf numFmtId="0" fontId="3" fillId="4" borderId="3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28" fillId="3" borderId="27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28" fillId="3" borderId="25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vertical="center"/>
    </xf>
    <xf numFmtId="0" fontId="22" fillId="4" borderId="3" xfId="0" applyFont="1" applyFill="1" applyBorder="1" applyAlignment="1">
      <alignment vertical="center"/>
    </xf>
    <xf numFmtId="0" fontId="36" fillId="4" borderId="2" xfId="0" applyFont="1" applyFill="1" applyBorder="1" applyAlignment="1">
      <alignment horizontal="center" vertical="center" shrinkToFit="1"/>
    </xf>
    <xf numFmtId="0" fontId="36" fillId="4" borderId="3" xfId="0" applyFont="1" applyFill="1" applyBorder="1" applyAlignment="1">
      <alignment horizontal="center" vertical="center" shrinkToFit="1"/>
    </xf>
    <xf numFmtId="0" fontId="36" fillId="4" borderId="4" xfId="0" applyFont="1" applyFill="1" applyBorder="1" applyAlignment="1">
      <alignment horizontal="center" vertical="center" shrinkToFit="1"/>
    </xf>
    <xf numFmtId="49" fontId="22" fillId="4" borderId="3" xfId="0" applyNumberFormat="1" applyFont="1" applyFill="1" applyBorder="1" applyAlignment="1">
      <alignment vertical="center" wrapText="1"/>
    </xf>
    <xf numFmtId="49" fontId="22" fillId="3" borderId="3" xfId="0" applyNumberFormat="1" applyFont="1" applyFill="1" applyBorder="1" applyAlignment="1">
      <alignment vertical="center" wrapText="1"/>
    </xf>
    <xf numFmtId="49" fontId="22" fillId="3" borderId="3" xfId="0" applyNumberFormat="1" applyFont="1" applyFill="1" applyBorder="1" applyAlignment="1">
      <alignment vertical="center"/>
    </xf>
    <xf numFmtId="49" fontId="22" fillId="4" borderId="3" xfId="0" applyNumberFormat="1" applyFont="1" applyFill="1" applyBorder="1" applyAlignment="1">
      <alignment vertical="center"/>
    </xf>
    <xf numFmtId="0" fontId="36" fillId="4" borderId="2" xfId="0" applyFont="1" applyFill="1" applyBorder="1" applyAlignment="1">
      <alignment horizontal="center" vertical="center"/>
    </xf>
    <xf numFmtId="0" fontId="36" fillId="4" borderId="3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49" fontId="22" fillId="3" borderId="3" xfId="0" applyNumberFormat="1" applyFont="1" applyFill="1" applyBorder="1" applyAlignment="1">
      <alignment horizontal="left" vertical="center"/>
    </xf>
    <xf numFmtId="0" fontId="36" fillId="4" borderId="5" xfId="0" applyFont="1" applyFill="1" applyBorder="1" applyAlignment="1">
      <alignment horizontal="center" vertical="center" shrinkToFit="1"/>
    </xf>
    <xf numFmtId="0" fontId="36" fillId="4" borderId="6" xfId="0" applyFont="1" applyFill="1" applyBorder="1" applyAlignment="1">
      <alignment horizontal="center" vertical="center" shrinkToFit="1"/>
    </xf>
    <xf numFmtId="0" fontId="36" fillId="4" borderId="7" xfId="0" applyFont="1" applyFill="1" applyBorder="1" applyAlignment="1">
      <alignment horizontal="center" vertical="center" shrinkToFit="1"/>
    </xf>
    <xf numFmtId="0" fontId="21" fillId="4" borderId="4" xfId="0" applyFont="1" applyFill="1" applyBorder="1" applyAlignment="1">
      <alignment horizontal="center" vertical="center" shrinkToFit="1"/>
    </xf>
    <xf numFmtId="2" fontId="22" fillId="3" borderId="3" xfId="0" applyNumberFormat="1" applyFont="1" applyFill="1" applyBorder="1" applyAlignment="1">
      <alignment horizontal="center" vertical="center"/>
    </xf>
    <xf numFmtId="2" fontId="22" fillId="3" borderId="4" xfId="0" applyNumberFormat="1" applyFont="1" applyFill="1" applyBorder="1" applyAlignment="1">
      <alignment horizontal="center" vertical="center"/>
    </xf>
    <xf numFmtId="2" fontId="22" fillId="4" borderId="9" xfId="0" applyNumberFormat="1" applyFont="1" applyFill="1" applyBorder="1" applyAlignment="1">
      <alignment horizontal="center" vertical="center"/>
    </xf>
    <xf numFmtId="2" fontId="22" fillId="4" borderId="10" xfId="0" applyNumberFormat="1" applyFont="1" applyFill="1" applyBorder="1" applyAlignment="1">
      <alignment horizontal="center" vertical="center"/>
    </xf>
    <xf numFmtId="2" fontId="21" fillId="4" borderId="3" xfId="0" applyNumberFormat="1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left" vertical="center"/>
    </xf>
    <xf numFmtId="4" fontId="3" fillId="4" borderId="3" xfId="0" applyNumberFormat="1" applyFont="1" applyFill="1" applyBorder="1" applyAlignment="1">
      <alignment horizontal="center"/>
    </xf>
    <xf numFmtId="4" fontId="3" fillId="4" borderId="4" xfId="0" applyNumberFormat="1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23" fillId="4" borderId="3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/>
    </xf>
    <xf numFmtId="0" fontId="36" fillId="4" borderId="5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7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3" fillId="3" borderId="9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4" fontId="3" fillId="4" borderId="27" xfId="0" applyNumberFormat="1" applyFont="1" applyFill="1" applyBorder="1" applyAlignment="1">
      <alignment horizontal="left"/>
    </xf>
    <xf numFmtId="4" fontId="3" fillId="4" borderId="25" xfId="0" applyNumberFormat="1" applyFont="1" applyFill="1" applyBorder="1" applyAlignment="1">
      <alignment horizontal="left"/>
    </xf>
    <xf numFmtId="0" fontId="31" fillId="4" borderId="2" xfId="0" applyFont="1" applyFill="1" applyBorder="1" applyAlignment="1">
      <alignment horizontal="left" vertical="center" shrinkToFit="1"/>
    </xf>
    <xf numFmtId="0" fontId="31" fillId="4" borderId="3" xfId="0" applyFont="1" applyFill="1" applyBorder="1" applyAlignment="1">
      <alignment horizontal="left" vertical="center" shrinkToFit="1"/>
    </xf>
    <xf numFmtId="0" fontId="31" fillId="4" borderId="4" xfId="0" applyFont="1" applyFill="1" applyBorder="1" applyAlignment="1">
      <alignment horizontal="left" vertical="center" shrinkToFit="1"/>
    </xf>
    <xf numFmtId="0" fontId="23" fillId="4" borderId="3" xfId="0" applyFont="1" applyFill="1" applyBorder="1" applyAlignment="1">
      <alignment horizontal="left" vertical="center" wrapText="1"/>
    </xf>
    <xf numFmtId="0" fontId="23" fillId="4" borderId="4" xfId="0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left" vertical="center" shrinkToFit="1"/>
    </xf>
    <xf numFmtId="0" fontId="23" fillId="4" borderId="3" xfId="0" applyFont="1" applyFill="1" applyBorder="1" applyAlignment="1">
      <alignment horizontal="left" vertical="center" shrinkToFit="1"/>
    </xf>
    <xf numFmtId="0" fontId="23" fillId="4" borderId="26" xfId="0" applyFont="1" applyFill="1" applyBorder="1" applyAlignment="1">
      <alignment horizontal="left" vertical="center" wrapText="1"/>
    </xf>
    <xf numFmtId="0" fontId="23" fillId="4" borderId="24" xfId="0" applyFont="1" applyFill="1" applyBorder="1" applyAlignment="1">
      <alignment horizontal="left" vertical="center" wrapText="1"/>
    </xf>
    <xf numFmtId="4" fontId="3" fillId="3" borderId="23" xfId="0" applyNumberFormat="1" applyFont="1" applyFill="1" applyBorder="1" applyAlignment="1">
      <alignment horizontal="left"/>
    </xf>
    <xf numFmtId="4" fontId="3" fillId="3" borderId="22" xfId="0" applyNumberFormat="1" applyFont="1" applyFill="1" applyBorder="1" applyAlignment="1">
      <alignment horizontal="left"/>
    </xf>
    <xf numFmtId="0" fontId="39" fillId="3" borderId="5" xfId="0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/>
    </xf>
    <xf numFmtId="0" fontId="39" fillId="3" borderId="7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center" vertical="center"/>
    </xf>
    <xf numFmtId="0" fontId="39" fillId="3" borderId="4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/>
    </xf>
    <xf numFmtId="0" fontId="33" fillId="4" borderId="5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3" fillId="4" borderId="7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</cellXfs>
  <cellStyles count="9">
    <cellStyle name="Moeda" xfId="1" builtinId="4"/>
    <cellStyle name="Moeda 2" xfId="5" xr:uid="{00000000-0005-0000-0000-000001000000}"/>
    <cellStyle name="Moeda 3" xfId="3" xr:uid="{00000000-0005-0000-0000-000002000000}"/>
    <cellStyle name="Normal" xfId="0" builtinId="0"/>
    <cellStyle name="Normal 2" xfId="4" xr:uid="{00000000-0005-0000-0000-000004000000}"/>
    <cellStyle name="Normal 2 2" xfId="8" xr:uid="{00000000-0005-0000-0000-000005000000}"/>
    <cellStyle name="Normal 2 3" xfId="7" xr:uid="{00000000-0005-0000-0000-000006000000}"/>
    <cellStyle name="Normal 3" xfId="6" xr:uid="{00000000-0005-0000-0000-000007000000}"/>
    <cellStyle name="Normal 4" xfId="2" xr:uid="{00000000-0005-0000-0000-000008000000}"/>
  </cellStyles>
  <dxfs count="4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8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95250</xdr:rowOff>
    </xdr:from>
    <xdr:to>
      <xdr:col>0</xdr:col>
      <xdr:colOff>4762500</xdr:colOff>
      <xdr:row>12</xdr:row>
      <xdr:rowOff>76200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6140718-C988-42D8-9D1F-BA0ED120B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95250"/>
          <a:ext cx="2838450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12</xdr:row>
      <xdr:rowOff>161925</xdr:rowOff>
    </xdr:from>
    <xdr:to>
      <xdr:col>0</xdr:col>
      <xdr:colOff>6429375</xdr:colOff>
      <xdr:row>20</xdr:row>
      <xdr:rowOff>76200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90A0FD6-2410-4605-B616-3C592B21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019425"/>
          <a:ext cx="6048375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74084</xdr:colOff>
      <xdr:row>42</xdr:row>
      <xdr:rowOff>158754</xdr:rowOff>
    </xdr:from>
    <xdr:to>
      <xdr:col>7</xdr:col>
      <xdr:colOff>677333</xdr:colOff>
      <xdr:row>51</xdr:row>
      <xdr:rowOff>939205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CAB03F5-7601-43A8-9AFD-805FEF1B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4" y="8773587"/>
          <a:ext cx="8339666" cy="2219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1453094</xdr:colOff>
      <xdr:row>25</xdr:row>
      <xdr:rowOff>158750</xdr:rowOff>
    </xdr:from>
    <xdr:to>
      <xdr:col>0</xdr:col>
      <xdr:colOff>2310344</xdr:colOff>
      <xdr:row>29</xdr:row>
      <xdr:rowOff>52917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4C6738F-C968-4068-8185-D38CDE1FB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094" y="4370917"/>
          <a:ext cx="85725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296334</xdr:colOff>
      <xdr:row>26</xdr:row>
      <xdr:rowOff>21170</xdr:rowOff>
    </xdr:from>
    <xdr:to>
      <xdr:col>0</xdr:col>
      <xdr:colOff>1291168</xdr:colOff>
      <xdr:row>29</xdr:row>
      <xdr:rowOff>31780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1F6037F-7A99-458C-9AA3-1B955936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34" y="4402670"/>
          <a:ext cx="994834" cy="518610"/>
        </a:xfrm>
        <a:prstGeom prst="rect">
          <a:avLst/>
        </a:prstGeom>
      </xdr:spPr>
    </xdr:pic>
    <xdr:clientData/>
  </xdr:twoCellAnchor>
  <xdr:twoCellAnchor editAs="oneCell">
    <xdr:from>
      <xdr:col>3</xdr:col>
      <xdr:colOff>116416</xdr:colOff>
      <xdr:row>0</xdr:row>
      <xdr:rowOff>349249</xdr:rowOff>
    </xdr:from>
    <xdr:to>
      <xdr:col>7</xdr:col>
      <xdr:colOff>656823</xdr:colOff>
      <xdr:row>0</xdr:row>
      <xdr:rowOff>1227667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6C993B-2A54-4060-A0B5-8F242DE00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4166" y="349249"/>
          <a:ext cx="3419074" cy="878418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105832</xdr:colOff>
      <xdr:row>0</xdr:row>
      <xdr:rowOff>105833</xdr:rowOff>
    </xdr:from>
    <xdr:to>
      <xdr:col>2</xdr:col>
      <xdr:colOff>562614</xdr:colOff>
      <xdr:row>0</xdr:row>
      <xdr:rowOff>1418167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1DF02AA-1494-4B03-987D-14BD3C6EE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2" y="105833"/>
          <a:ext cx="4594865" cy="1312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45</xdr:row>
      <xdr:rowOff>38896</xdr:rowOff>
    </xdr:from>
    <xdr:to>
      <xdr:col>5</xdr:col>
      <xdr:colOff>550334</xdr:colOff>
      <xdr:row>55</xdr:row>
      <xdr:rowOff>310447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D345C7F-E669-4EE8-AD91-2E6B6C196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7" y="10050729"/>
          <a:ext cx="5492750" cy="1859051"/>
        </a:xfrm>
        <a:prstGeom prst="rect">
          <a:avLst/>
        </a:prstGeom>
      </xdr:spPr>
    </xdr:pic>
    <xdr:clientData/>
  </xdr:twoCellAnchor>
  <xdr:twoCellAnchor editAs="oneCell">
    <xdr:from>
      <xdr:col>5</xdr:col>
      <xdr:colOff>158747</xdr:colOff>
      <xdr:row>0</xdr:row>
      <xdr:rowOff>344207</xdr:rowOff>
    </xdr:from>
    <xdr:to>
      <xdr:col>8</xdr:col>
      <xdr:colOff>931333</xdr:colOff>
      <xdr:row>0</xdr:row>
      <xdr:rowOff>1325831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28942C6-6C1C-411F-8AA0-3DA30D804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5830" y="344207"/>
          <a:ext cx="3810003" cy="981624"/>
        </a:xfrm>
        <a:prstGeom prst="rect">
          <a:avLst/>
        </a:prstGeom>
      </xdr:spPr>
    </xdr:pic>
    <xdr:clientData/>
  </xdr:twoCellAnchor>
  <xdr:twoCellAnchor editAs="oneCell">
    <xdr:from>
      <xdr:col>0</xdr:col>
      <xdr:colOff>148166</xdr:colOff>
      <xdr:row>0</xdr:row>
      <xdr:rowOff>67310</xdr:rowOff>
    </xdr:from>
    <xdr:to>
      <xdr:col>4</xdr:col>
      <xdr:colOff>836083</xdr:colOff>
      <xdr:row>0</xdr:row>
      <xdr:rowOff>1412409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EB21E09-58DC-47AE-BBCF-26874E33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6" y="67310"/>
          <a:ext cx="4709584" cy="13450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39</xdr:row>
      <xdr:rowOff>133350</xdr:rowOff>
    </xdr:from>
    <xdr:to>
      <xdr:col>8</xdr:col>
      <xdr:colOff>666750</xdr:colOff>
      <xdr:row>43</xdr:row>
      <xdr:rowOff>451360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0E23F29-312B-4FFD-B6FD-F0857AB54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601075"/>
          <a:ext cx="7258050" cy="1965835"/>
        </a:xfrm>
        <a:prstGeom prst="rect">
          <a:avLst/>
        </a:prstGeom>
      </xdr:spPr>
    </xdr:pic>
    <xdr:clientData/>
  </xdr:twoCellAnchor>
  <xdr:twoCellAnchor editAs="oneCell">
    <xdr:from>
      <xdr:col>5</xdr:col>
      <xdr:colOff>56089</xdr:colOff>
      <xdr:row>0</xdr:row>
      <xdr:rowOff>257847</xdr:rowOff>
    </xdr:from>
    <xdr:to>
      <xdr:col>8</xdr:col>
      <xdr:colOff>752475</xdr:colOff>
      <xdr:row>0</xdr:row>
      <xdr:rowOff>1099863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53FC38D-2E1A-424D-8D27-62500654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339" y="257847"/>
          <a:ext cx="3268136" cy="84201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0</xdr:row>
      <xdr:rowOff>66675</xdr:rowOff>
    </xdr:from>
    <xdr:to>
      <xdr:col>4</xdr:col>
      <xdr:colOff>685800</xdr:colOff>
      <xdr:row>0</xdr:row>
      <xdr:rowOff>1236458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54A3F2A-FA5D-4618-BC00-EF6DC6037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6675"/>
          <a:ext cx="4095750" cy="11697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49</xdr:row>
      <xdr:rowOff>38100</xdr:rowOff>
    </xdr:from>
    <xdr:to>
      <xdr:col>8</xdr:col>
      <xdr:colOff>600074</xdr:colOff>
      <xdr:row>53</xdr:row>
      <xdr:rowOff>866774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516525-2A57-4800-A493-746377181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9725025"/>
          <a:ext cx="7953374" cy="1885949"/>
        </a:xfrm>
        <a:prstGeom prst="rect">
          <a:avLst/>
        </a:prstGeom>
      </xdr:spPr>
    </xdr:pic>
    <xdr:clientData/>
  </xdr:twoCellAnchor>
  <xdr:twoCellAnchor editAs="oneCell">
    <xdr:from>
      <xdr:col>5</xdr:col>
      <xdr:colOff>113239</xdr:colOff>
      <xdr:row>0</xdr:row>
      <xdr:rowOff>257847</xdr:rowOff>
    </xdr:from>
    <xdr:to>
      <xdr:col>8</xdr:col>
      <xdr:colOff>466725</xdr:colOff>
      <xdr:row>0</xdr:row>
      <xdr:rowOff>1099863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073CA69-8F30-4AC8-9F04-B60223BC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364" y="257847"/>
          <a:ext cx="3268136" cy="84201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66675</xdr:rowOff>
    </xdr:from>
    <xdr:to>
      <xdr:col>4</xdr:col>
      <xdr:colOff>428625</xdr:colOff>
      <xdr:row>0</xdr:row>
      <xdr:rowOff>1236458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194DF7D-43A3-4037-BFB6-458483227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4095750" cy="11697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43</xdr:row>
      <xdr:rowOff>63500</xdr:rowOff>
    </xdr:from>
    <xdr:to>
      <xdr:col>8</xdr:col>
      <xdr:colOff>927101</xdr:colOff>
      <xdr:row>54</xdr:row>
      <xdr:rowOff>16130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1EA1E1-C9B9-421D-A59A-E29DBE4ED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9122833"/>
          <a:ext cx="8346017" cy="1921130"/>
        </a:xfrm>
        <a:prstGeom prst="rect">
          <a:avLst/>
        </a:prstGeom>
      </xdr:spPr>
    </xdr:pic>
    <xdr:clientData/>
  </xdr:twoCellAnchor>
  <xdr:twoCellAnchor editAs="oneCell">
    <xdr:from>
      <xdr:col>5</xdr:col>
      <xdr:colOff>306914</xdr:colOff>
      <xdr:row>0</xdr:row>
      <xdr:rowOff>233505</xdr:rowOff>
    </xdr:from>
    <xdr:to>
      <xdr:col>8</xdr:col>
      <xdr:colOff>781050</xdr:colOff>
      <xdr:row>0</xdr:row>
      <xdr:rowOff>1075521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F0E67B-06D6-4C94-B78E-89547365D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3581" y="233505"/>
          <a:ext cx="3268136" cy="842016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211667</xdr:colOff>
      <xdr:row>0</xdr:row>
      <xdr:rowOff>42333</xdr:rowOff>
    </xdr:from>
    <xdr:to>
      <xdr:col>4</xdr:col>
      <xdr:colOff>582084</xdr:colOff>
      <xdr:row>0</xdr:row>
      <xdr:rowOff>1212116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A1D138B-43A0-4CF2-9F5F-DA7F74049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67" y="42333"/>
          <a:ext cx="4095750" cy="11697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9217" name="WordArt 1">
          <a:extLst>
            <a:ext uri="{FF2B5EF4-FFF2-40B4-BE49-F238E27FC236}">
              <a16:creationId xmlns:a16="http://schemas.microsoft.com/office/drawing/2014/main" id="{00000000-0008-0000-1000-0000012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0" y="920115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3600" b="1" kern="10" spc="0">
              <a:ln w="9525">
                <a:solidFill>
                  <a:srgbClr val="C0C0C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Lucida Calligraphy"/>
            </a:rPr>
            <a:t>Columbia Decor</a:t>
          </a: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9218" name="WordArt 2">
          <a:extLst>
            <a:ext uri="{FF2B5EF4-FFF2-40B4-BE49-F238E27FC236}">
              <a16:creationId xmlns:a16="http://schemas.microsoft.com/office/drawing/2014/main" id="{00000000-0008-0000-1000-0000022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0" y="920115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1600" b="1" kern="10" spc="0">
              <a:ln w="9525">
                <a:solidFill>
                  <a:srgbClr val="C0C0C0"/>
                </a:solidFill>
                <a:round/>
                <a:headEnd/>
                <a:tailEnd/>
              </a:ln>
              <a:solidFill>
                <a:srgbClr val="C0C0C0"/>
              </a:solidFill>
              <a:effectLst/>
              <a:latin typeface="Lucida Calligraphy"/>
            </a:rPr>
            <a:t>Cortinas, Persianas e Acessórios</a:t>
          </a: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9219" name="WordArt 3">
          <a:extLst>
            <a:ext uri="{FF2B5EF4-FFF2-40B4-BE49-F238E27FC236}">
              <a16:creationId xmlns:a16="http://schemas.microsoft.com/office/drawing/2014/main" id="{00000000-0008-0000-1000-0000032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0" y="9201150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Atacado</a:t>
          </a:r>
        </a:p>
      </xdr:txBody>
    </xdr:sp>
    <xdr:clientData/>
  </xdr:twoCellAnchor>
  <xdr:twoCellAnchor>
    <xdr:from>
      <xdr:col>0</xdr:col>
      <xdr:colOff>571500</xdr:colOff>
      <xdr:row>38</xdr:row>
      <xdr:rowOff>0</xdr:rowOff>
    </xdr:from>
    <xdr:to>
      <xdr:col>0</xdr:col>
      <xdr:colOff>571500</xdr:colOff>
      <xdr:row>38</xdr:row>
      <xdr:rowOff>0</xdr:rowOff>
    </xdr:to>
    <xdr:sp macro="" textlink="">
      <xdr:nvSpPr>
        <xdr:cNvPr id="5" name="WordArt 3">
          <a:extLst>
            <a:ext uri="{FF2B5EF4-FFF2-40B4-BE49-F238E27FC236}">
              <a16:creationId xmlns:a16="http://schemas.microsoft.com/office/drawing/2014/main" id="{B580FE66-E280-454F-8B9A-980347D85F7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71500" y="1552575"/>
          <a:ext cx="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Atacado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Q47"/>
  <sheetViews>
    <sheetView showGridLines="0" tabSelected="1" zoomScaleNormal="100" workbookViewId="0">
      <selection activeCell="H2" sqref="H2:H3"/>
    </sheetView>
  </sheetViews>
  <sheetFormatPr defaultRowHeight="12.75" x14ac:dyDescent="0.2"/>
  <cols>
    <col min="1" max="1" width="100.7109375" style="19" customWidth="1"/>
    <col min="2" max="2" width="9.140625" style="19"/>
    <col min="3" max="7" width="8.7109375" style="19" customWidth="1"/>
    <col min="8" max="8" width="24.5703125" style="19" customWidth="1"/>
    <col min="9" max="10" width="9.140625" style="19"/>
    <col min="11" max="11" width="8.7109375" style="19" customWidth="1"/>
    <col min="12" max="14" width="9.140625" style="19"/>
    <col min="15" max="15" width="13.140625" style="19" customWidth="1"/>
    <col min="16" max="16384" width="9.140625" style="19"/>
  </cols>
  <sheetData>
    <row r="1" spans="1:17" ht="18.95" customHeight="1" x14ac:dyDescent="0.2">
      <c r="A1" s="527"/>
      <c r="C1" s="20">
        <f>SUM(H2-H4)</f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7" ht="18.95" customHeight="1" x14ac:dyDescent="0.2">
      <c r="A2" s="528"/>
      <c r="C2" s="525" t="s">
        <v>324</v>
      </c>
      <c r="D2" s="525"/>
      <c r="E2" s="525"/>
      <c r="F2" s="525"/>
      <c r="G2" s="525"/>
      <c r="H2" s="524">
        <v>0</v>
      </c>
      <c r="I2" s="43"/>
      <c r="J2" s="43"/>
      <c r="K2" s="43"/>
      <c r="L2" s="43"/>
      <c r="M2" s="43"/>
      <c r="N2" s="43"/>
      <c r="O2" s="43"/>
      <c r="P2" s="43"/>
      <c r="Q2" s="20"/>
    </row>
    <row r="3" spans="1:17" ht="18.95" customHeight="1" x14ac:dyDescent="0.2">
      <c r="A3" s="528"/>
      <c r="C3" s="525"/>
      <c r="D3" s="525"/>
      <c r="E3" s="525"/>
      <c r="F3" s="525"/>
      <c r="G3" s="525"/>
      <c r="H3" s="524"/>
      <c r="I3" s="43"/>
      <c r="J3" s="43"/>
      <c r="K3" s="43"/>
      <c r="L3" s="43"/>
      <c r="M3" s="43"/>
      <c r="N3" s="43"/>
      <c r="O3" s="43"/>
      <c r="P3" s="43"/>
      <c r="Q3" s="20"/>
    </row>
    <row r="4" spans="1:17" ht="18.95" customHeight="1" x14ac:dyDescent="0.2">
      <c r="A4" s="528"/>
      <c r="C4" s="525" t="s">
        <v>325</v>
      </c>
      <c r="D4" s="525"/>
      <c r="E4" s="525"/>
      <c r="F4" s="525"/>
      <c r="G4" s="525"/>
      <c r="H4" s="524">
        <v>0</v>
      </c>
      <c r="I4" s="43"/>
      <c r="J4" s="43"/>
      <c r="K4" s="43"/>
      <c r="L4" s="43"/>
      <c r="M4" s="43"/>
      <c r="N4" s="43"/>
      <c r="O4" s="43"/>
      <c r="P4" s="43"/>
      <c r="Q4" s="20"/>
    </row>
    <row r="5" spans="1:17" ht="18.95" customHeight="1" x14ac:dyDescent="0.2">
      <c r="A5" s="528"/>
      <c r="C5" s="525"/>
      <c r="D5" s="525"/>
      <c r="E5" s="525"/>
      <c r="F5" s="525"/>
      <c r="G5" s="525"/>
      <c r="H5" s="524"/>
      <c r="I5" s="43"/>
      <c r="J5" s="43"/>
      <c r="K5" s="43"/>
      <c r="L5" s="43"/>
      <c r="M5" s="43"/>
      <c r="N5" s="43"/>
      <c r="O5" s="43"/>
      <c r="P5" s="43"/>
      <c r="Q5" s="20"/>
    </row>
    <row r="6" spans="1:17" ht="18.95" customHeight="1" x14ac:dyDescent="0.2">
      <c r="A6" s="528"/>
      <c r="C6" s="526" t="s">
        <v>326</v>
      </c>
      <c r="D6" s="526"/>
      <c r="E6" s="526"/>
      <c r="F6" s="526"/>
      <c r="G6" s="526"/>
      <c r="H6" s="526"/>
      <c r="I6" s="43"/>
      <c r="J6" s="43"/>
      <c r="K6" s="43"/>
      <c r="L6" s="43"/>
      <c r="M6" s="43"/>
      <c r="N6" s="43"/>
      <c r="O6" s="43"/>
      <c r="P6" s="43"/>
      <c r="Q6" s="20"/>
    </row>
    <row r="7" spans="1:17" ht="18.95" customHeight="1" x14ac:dyDescent="0.2">
      <c r="A7" s="528"/>
      <c r="C7" s="526"/>
      <c r="D7" s="526"/>
      <c r="E7" s="526"/>
      <c r="F7" s="526"/>
      <c r="G7" s="526"/>
      <c r="H7" s="526"/>
      <c r="I7" s="43"/>
      <c r="J7" s="43"/>
      <c r="K7" s="43"/>
      <c r="L7" s="43"/>
      <c r="M7" s="43"/>
      <c r="N7" s="43"/>
      <c r="O7" s="43"/>
      <c r="P7" s="43"/>
      <c r="Q7" s="20"/>
    </row>
    <row r="8" spans="1:17" ht="18.95" customHeight="1" x14ac:dyDescent="0.2">
      <c r="A8" s="528"/>
      <c r="C8" s="526"/>
      <c r="D8" s="526"/>
      <c r="E8" s="526"/>
      <c r="F8" s="526"/>
      <c r="G8" s="526"/>
      <c r="H8" s="526"/>
      <c r="I8" s="43"/>
      <c r="J8" s="43"/>
      <c r="K8" s="43"/>
      <c r="L8" s="43"/>
      <c r="M8" s="43"/>
      <c r="N8" s="43"/>
      <c r="O8" s="43"/>
      <c r="P8" s="43"/>
      <c r="Q8" s="20"/>
    </row>
    <row r="9" spans="1:17" ht="18.95" customHeight="1" x14ac:dyDescent="0.2">
      <c r="A9" s="528"/>
      <c r="C9" s="526"/>
      <c r="D9" s="526"/>
      <c r="E9" s="526"/>
      <c r="F9" s="526"/>
      <c r="G9" s="526"/>
      <c r="H9" s="526"/>
      <c r="I9" s="43"/>
      <c r="J9" s="43"/>
      <c r="K9" s="43"/>
      <c r="L9" s="43"/>
      <c r="M9" s="43"/>
      <c r="N9" s="43"/>
      <c r="O9" s="43"/>
      <c r="P9" s="43"/>
      <c r="Q9" s="20"/>
    </row>
    <row r="10" spans="1:17" ht="18.95" customHeight="1" x14ac:dyDescent="0.2">
      <c r="A10" s="528"/>
      <c r="C10" s="526"/>
      <c r="D10" s="526"/>
      <c r="E10" s="526"/>
      <c r="F10" s="526"/>
      <c r="G10" s="526"/>
      <c r="H10" s="526"/>
      <c r="I10" s="43"/>
      <c r="J10" s="43"/>
      <c r="K10" s="43"/>
      <c r="L10" s="43"/>
      <c r="M10" s="43"/>
      <c r="N10" s="43"/>
      <c r="O10" s="43"/>
      <c r="P10" s="43"/>
      <c r="Q10" s="20"/>
    </row>
    <row r="11" spans="1:17" ht="18.95" customHeight="1" x14ac:dyDescent="0.2">
      <c r="A11" s="528"/>
      <c r="C11" s="44"/>
      <c r="D11" s="44"/>
      <c r="E11" s="44"/>
      <c r="F11" s="44"/>
      <c r="G11" s="44"/>
      <c r="H11" s="43"/>
      <c r="I11" s="43"/>
      <c r="J11" s="43"/>
      <c r="K11" s="43"/>
      <c r="L11" s="43"/>
      <c r="M11" s="43"/>
      <c r="N11" s="43"/>
      <c r="O11" s="43"/>
      <c r="P11" s="43"/>
      <c r="Q11" s="20"/>
    </row>
    <row r="12" spans="1:17" ht="18.95" customHeight="1" x14ac:dyDescent="0.2">
      <c r="A12" s="528"/>
    </row>
    <row r="13" spans="1:17" ht="18.95" customHeight="1" x14ac:dyDescent="0.2">
      <c r="A13" s="528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 spans="1:17" ht="18.95" customHeight="1" x14ac:dyDescent="0.2">
      <c r="A14" s="528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</row>
    <row r="15" spans="1:17" ht="18.95" customHeight="1" x14ac:dyDescent="0.2">
      <c r="A15" s="528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</row>
    <row r="16" spans="1:17" ht="18.95" customHeight="1" x14ac:dyDescent="0.2">
      <c r="A16" s="528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</row>
    <row r="17" spans="1:1" ht="18.95" customHeight="1" x14ac:dyDescent="0.2">
      <c r="A17" s="528"/>
    </row>
    <row r="18" spans="1:1" ht="18.95" customHeight="1" x14ac:dyDescent="0.2">
      <c r="A18" s="528"/>
    </row>
    <row r="19" spans="1:1" ht="18.95" customHeight="1" x14ac:dyDescent="0.2">
      <c r="A19" s="528"/>
    </row>
    <row r="20" spans="1:1" ht="18.95" customHeight="1" x14ac:dyDescent="0.2">
      <c r="A20" s="528"/>
    </row>
    <row r="21" spans="1:1" ht="18.95" customHeight="1" x14ac:dyDescent="0.2">
      <c r="A21" s="528"/>
    </row>
    <row r="22" spans="1:1" ht="18.95" customHeight="1" x14ac:dyDescent="0.2">
      <c r="A22" s="47"/>
    </row>
    <row r="23" spans="1:1" ht="18.95" customHeight="1" x14ac:dyDescent="0.2">
      <c r="A23" s="48" t="s">
        <v>352</v>
      </c>
    </row>
    <row r="24" spans="1:1" ht="18.95" customHeight="1" x14ac:dyDescent="0.2">
      <c r="A24" s="48"/>
    </row>
    <row r="25" spans="1:1" ht="18.95" customHeight="1" x14ac:dyDescent="0.2">
      <c r="A25" s="523" t="s">
        <v>480</v>
      </c>
    </row>
    <row r="26" spans="1:1" s="22" customFormat="1" ht="18.95" customHeight="1" x14ac:dyDescent="0.2">
      <c r="A26" s="523"/>
    </row>
    <row r="27" spans="1:1" ht="18.95" customHeight="1" x14ac:dyDescent="0.2">
      <c r="A27" s="48"/>
    </row>
    <row r="28" spans="1:1" ht="18.95" customHeight="1" x14ac:dyDescent="0.2">
      <c r="A28" s="48" t="s">
        <v>481</v>
      </c>
    </row>
    <row r="29" spans="1:1" ht="18.95" customHeight="1" x14ac:dyDescent="0.2">
      <c r="A29" s="48"/>
    </row>
    <row r="30" spans="1:1" ht="18.95" customHeight="1" x14ac:dyDescent="0.2">
      <c r="A30" s="48" t="s">
        <v>124</v>
      </c>
    </row>
    <row r="31" spans="1:1" ht="18.95" customHeight="1" x14ac:dyDescent="0.2">
      <c r="A31" s="48"/>
    </row>
    <row r="32" spans="1:1" ht="18.95" customHeight="1" x14ac:dyDescent="0.2">
      <c r="A32" s="523" t="s">
        <v>125</v>
      </c>
    </row>
    <row r="33" spans="1:1" ht="18.95" customHeight="1" x14ac:dyDescent="0.2">
      <c r="A33" s="523"/>
    </row>
    <row r="34" spans="1:1" ht="18.95" customHeight="1" x14ac:dyDescent="0.2">
      <c r="A34" s="48"/>
    </row>
    <row r="35" spans="1:1" ht="18.95" customHeight="1" x14ac:dyDescent="0.2">
      <c r="A35" s="523" t="s">
        <v>126</v>
      </c>
    </row>
    <row r="36" spans="1:1" ht="18.95" customHeight="1" x14ac:dyDescent="0.2">
      <c r="A36" s="523"/>
    </row>
    <row r="37" spans="1:1" ht="18.95" customHeight="1" x14ac:dyDescent="0.2">
      <c r="A37" s="522" t="s">
        <v>550</v>
      </c>
    </row>
    <row r="38" spans="1:1" ht="18.95" customHeight="1" x14ac:dyDescent="0.2">
      <c r="A38" s="522"/>
    </row>
    <row r="39" spans="1:1" ht="18.95" customHeight="1" x14ac:dyDescent="0.2">
      <c r="A39" s="522"/>
    </row>
    <row r="40" spans="1:1" ht="18.95" customHeight="1" x14ac:dyDescent="0.2">
      <c r="A40" s="520" t="s">
        <v>1123</v>
      </c>
    </row>
    <row r="41" spans="1:1" ht="18.95" customHeight="1" x14ac:dyDescent="0.2">
      <c r="A41" s="520"/>
    </row>
    <row r="42" spans="1:1" ht="18.95" customHeight="1" x14ac:dyDescent="0.2">
      <c r="A42" s="520"/>
    </row>
    <row r="43" spans="1:1" ht="18.95" customHeight="1" thickBot="1" x14ac:dyDescent="0.25">
      <c r="A43" s="521"/>
    </row>
    <row r="44" spans="1:1" ht="33.75" customHeight="1" x14ac:dyDescent="0.2">
      <c r="A44" s="21"/>
    </row>
    <row r="45" spans="1:1" ht="33.75" customHeight="1" x14ac:dyDescent="0.2">
      <c r="A45" s="21"/>
    </row>
    <row r="46" spans="1:1" ht="33.75" customHeight="1" x14ac:dyDescent="0.2">
      <c r="A46" s="21"/>
    </row>
    <row r="47" spans="1:1" ht="33.75" customHeight="1" x14ac:dyDescent="0.2">
      <c r="A47" s="21"/>
    </row>
  </sheetData>
  <mergeCells count="11">
    <mergeCell ref="A40:A43"/>
    <mergeCell ref="A37:A39"/>
    <mergeCell ref="A32:A33"/>
    <mergeCell ref="A35:A36"/>
    <mergeCell ref="H2:H3"/>
    <mergeCell ref="C4:G5"/>
    <mergeCell ref="H4:H5"/>
    <mergeCell ref="C2:G3"/>
    <mergeCell ref="C6:H10"/>
    <mergeCell ref="A1:A21"/>
    <mergeCell ref="A25:A26"/>
  </mergeCells>
  <printOptions horizontalCentered="1"/>
  <pageMargins left="0.23622047244094491" right="0.23622047244094491" top="0.19685039370078741" bottom="0.19685039370078741" header="0.31496062992125984" footer="0.11811023622047245"/>
  <pageSetup paperSize="9" orientation="portrait" r:id="rId1"/>
  <rowBreaks count="1" manualBreakCount="1">
    <brk id="43" max="16383" man="1"/>
  </rowBreaks>
  <colBreaks count="1" manualBreakCount="1">
    <brk id="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L57"/>
  <sheetViews>
    <sheetView showGridLines="0" showWhiteSpace="0" view="pageLayout" zoomScaleNormal="100" workbookViewId="0">
      <selection sqref="A1:F1"/>
    </sheetView>
  </sheetViews>
  <sheetFormatPr defaultColWidth="4.140625" defaultRowHeight="11.25" x14ac:dyDescent="0.2"/>
  <cols>
    <col min="1" max="1" width="12.7109375" style="29" customWidth="1"/>
    <col min="2" max="2" width="53.5703125" style="29" customWidth="1"/>
    <col min="3" max="5" width="12.7109375" style="30" customWidth="1"/>
    <col min="6" max="6" width="12.7109375" style="29" customWidth="1"/>
    <col min="7" max="7" width="9.140625" style="29" customWidth="1"/>
    <col min="8" max="8" width="14.7109375" style="29" hidden="1" customWidth="1"/>
    <col min="9" max="9" width="15.7109375" style="29" hidden="1" customWidth="1"/>
    <col min="10" max="10" width="9.140625" style="29" customWidth="1"/>
    <col min="11" max="16384" width="4.140625" style="29"/>
  </cols>
  <sheetData>
    <row r="1" spans="1:12" ht="28.35" customHeight="1" thickBot="1" x14ac:dyDescent="0.25">
      <c r="A1" s="544" t="s">
        <v>1028</v>
      </c>
      <c r="B1" s="545"/>
      <c r="C1" s="545"/>
      <c r="D1" s="545"/>
      <c r="E1" s="545"/>
      <c r="F1" s="546"/>
      <c r="H1" s="30"/>
      <c r="I1" s="30"/>
      <c r="J1" s="30"/>
      <c r="K1" s="30"/>
      <c r="L1" s="30"/>
    </row>
    <row r="2" spans="1:12" ht="14.1" customHeight="1" x14ac:dyDescent="0.2">
      <c r="A2" s="195" t="s">
        <v>132</v>
      </c>
      <c r="B2" s="550" t="s">
        <v>114</v>
      </c>
      <c r="C2" s="550"/>
      <c r="D2" s="196" t="s">
        <v>131</v>
      </c>
      <c r="E2" s="196" t="s">
        <v>345</v>
      </c>
      <c r="F2" s="197" t="s">
        <v>98</v>
      </c>
      <c r="H2" s="186" t="s">
        <v>345</v>
      </c>
      <c r="I2" s="187" t="s">
        <v>98</v>
      </c>
      <c r="J2" s="30"/>
      <c r="K2" s="30"/>
      <c r="L2" s="30"/>
    </row>
    <row r="3" spans="1:12" s="34" customFormat="1" ht="28.35" customHeight="1" x14ac:dyDescent="0.2">
      <c r="A3" s="203">
        <v>1030</v>
      </c>
      <c r="B3" s="538" t="s">
        <v>997</v>
      </c>
      <c r="C3" s="538"/>
      <c r="D3" s="204">
        <v>3</v>
      </c>
      <c r="E3" s="200">
        <f>SUM(H3-(H3*Capa!$C$1))</f>
        <v>7.67</v>
      </c>
      <c r="F3" s="201">
        <f>SUM(I3-(I3*Capa!$C$1))</f>
        <v>7.29</v>
      </c>
      <c r="H3" s="205">
        <v>7.67</v>
      </c>
      <c r="I3" s="202">
        <v>7.29</v>
      </c>
      <c r="J3" s="36"/>
      <c r="K3" s="36"/>
      <c r="L3" s="36"/>
    </row>
    <row r="4" spans="1:12" s="34" customFormat="1" ht="33" customHeight="1" x14ac:dyDescent="0.2">
      <c r="A4" s="41">
        <v>1031</v>
      </c>
      <c r="B4" s="540" t="s">
        <v>666</v>
      </c>
      <c r="C4" s="540"/>
      <c r="D4" s="42" t="s">
        <v>119</v>
      </c>
      <c r="E4" s="501">
        <f>SUM(H4-(H4*Capa!$C$1))</f>
        <v>8.89</v>
      </c>
      <c r="F4" s="502">
        <f>SUM(I4-(I4*Capa!$C$1))</f>
        <v>8.27</v>
      </c>
      <c r="H4" s="35">
        <v>8.89</v>
      </c>
      <c r="I4" s="503">
        <v>8.27</v>
      </c>
      <c r="J4" s="36"/>
      <c r="K4" s="36"/>
      <c r="L4" s="36"/>
    </row>
    <row r="5" spans="1:12" s="34" customFormat="1" ht="30" customHeight="1" x14ac:dyDescent="0.2">
      <c r="A5" s="203">
        <v>1037</v>
      </c>
      <c r="B5" s="538" t="s">
        <v>998</v>
      </c>
      <c r="C5" s="538"/>
      <c r="D5" s="204">
        <v>1.55</v>
      </c>
      <c r="E5" s="200">
        <f>SUM(H5-(H5*Capa!$C$1))</f>
        <v>7.28</v>
      </c>
      <c r="F5" s="201">
        <f>SUM(I5-(I5*Capa!$C$1))</f>
        <v>6.77</v>
      </c>
      <c r="H5" s="205">
        <v>7.28</v>
      </c>
      <c r="I5" s="202">
        <v>6.77</v>
      </c>
      <c r="J5" s="36"/>
      <c r="K5" s="36"/>
      <c r="L5" s="36"/>
    </row>
    <row r="6" spans="1:12" s="34" customFormat="1" ht="27.95" customHeight="1" x14ac:dyDescent="0.2">
      <c r="A6" s="41">
        <v>1037</v>
      </c>
      <c r="B6" s="540" t="s">
        <v>999</v>
      </c>
      <c r="C6" s="540"/>
      <c r="D6" s="42">
        <v>1.55</v>
      </c>
      <c r="E6" s="39">
        <f>SUM(H6-(H6*Capa!$C$1))</f>
        <v>11.6</v>
      </c>
      <c r="F6" s="40">
        <f>SUM(I6-(I6*Capa!$C$1))</f>
        <v>10.78</v>
      </c>
      <c r="H6" s="35">
        <v>11.6</v>
      </c>
      <c r="I6" s="31">
        <v>10.78</v>
      </c>
      <c r="J6" s="36"/>
      <c r="K6" s="36"/>
      <c r="L6" s="36"/>
    </row>
    <row r="7" spans="1:12" s="34" customFormat="1" ht="14.1" customHeight="1" x14ac:dyDescent="0.2">
      <c r="A7" s="203">
        <v>1048</v>
      </c>
      <c r="B7" s="538" t="s">
        <v>749</v>
      </c>
      <c r="C7" s="538"/>
      <c r="D7" s="204">
        <v>3</v>
      </c>
      <c r="E7" s="200">
        <f>SUM(H7-(H7*Capa!$C$1))</f>
        <v>10.73</v>
      </c>
      <c r="F7" s="201">
        <f>SUM(I7-(I7*Capa!$C$1))</f>
        <v>10.199999999999999</v>
      </c>
      <c r="H7" s="205">
        <v>10.73</v>
      </c>
      <c r="I7" s="202">
        <v>10.199999999999999</v>
      </c>
      <c r="J7" s="36"/>
      <c r="K7" s="36"/>
      <c r="L7" s="36"/>
    </row>
    <row r="8" spans="1:12" ht="14.1" customHeight="1" x14ac:dyDescent="0.2">
      <c r="A8" s="198">
        <v>4017</v>
      </c>
      <c r="B8" s="539" t="s">
        <v>549</v>
      </c>
      <c r="C8" s="539"/>
      <c r="D8" s="199">
        <v>3</v>
      </c>
      <c r="E8" s="200">
        <f>SUM(H8-(H8*Capa!$C$1))</f>
        <v>20.92</v>
      </c>
      <c r="F8" s="201">
        <f>SUM(I8-(I8*Capa!$C$1))</f>
        <v>19.45</v>
      </c>
      <c r="H8" s="206">
        <v>20.92</v>
      </c>
      <c r="I8" s="202">
        <v>19.45</v>
      </c>
      <c r="J8" s="30"/>
      <c r="K8" s="30"/>
      <c r="L8" s="30"/>
    </row>
    <row r="9" spans="1:12" s="23" customFormat="1" ht="14.1" customHeight="1" x14ac:dyDescent="0.2">
      <c r="A9" s="37">
        <v>5006</v>
      </c>
      <c r="B9" s="537" t="s">
        <v>1000</v>
      </c>
      <c r="C9" s="537"/>
      <c r="D9" s="38">
        <v>2.9</v>
      </c>
      <c r="E9" s="39">
        <f>SUM(H9-(H9*Capa!$C$1))</f>
        <v>38.6</v>
      </c>
      <c r="F9" s="40">
        <f>SUM(I9-(I9*Capa!$C$1))</f>
        <v>36.67</v>
      </c>
      <c r="G9" s="163"/>
      <c r="H9" s="32">
        <v>38.6</v>
      </c>
      <c r="I9" s="31">
        <v>36.67</v>
      </c>
    </row>
    <row r="10" spans="1:12" s="23" customFormat="1" ht="14.1" customHeight="1" x14ac:dyDescent="0.2">
      <c r="A10" s="198">
        <v>5007</v>
      </c>
      <c r="B10" s="539" t="s">
        <v>1001</v>
      </c>
      <c r="C10" s="539"/>
      <c r="D10" s="199">
        <v>2.9</v>
      </c>
      <c r="E10" s="200">
        <f>SUM(H10-(H10*Capa!$C$1))</f>
        <v>40.98</v>
      </c>
      <c r="F10" s="201">
        <f>SUM(I10-(I10*Capa!$C$1))</f>
        <v>38.93</v>
      </c>
      <c r="G10" s="163"/>
      <c r="H10" s="206">
        <v>40.98</v>
      </c>
      <c r="I10" s="202">
        <v>38.93</v>
      </c>
    </row>
    <row r="11" spans="1:12" s="8" customFormat="1" ht="14.1" customHeight="1" x14ac:dyDescent="0.2">
      <c r="A11" s="37">
        <v>7003</v>
      </c>
      <c r="B11" s="537" t="s">
        <v>670</v>
      </c>
      <c r="C11" s="537"/>
      <c r="D11" s="38">
        <v>3</v>
      </c>
      <c r="E11" s="39">
        <f>SUM(H11-(H11*Capa!$C$1))</f>
        <v>59.54</v>
      </c>
      <c r="F11" s="40">
        <f>SUM(I11-(I11*Capa!$C$1))</f>
        <v>56.57</v>
      </c>
      <c r="G11" s="7"/>
      <c r="H11" s="32">
        <v>59.54</v>
      </c>
      <c r="I11" s="31">
        <v>56.57</v>
      </c>
      <c r="J11" s="7"/>
      <c r="K11" s="7"/>
      <c r="L11" s="7"/>
    </row>
    <row r="12" spans="1:12" s="161" customFormat="1" ht="14.1" customHeight="1" thickBot="1" x14ac:dyDescent="0.25">
      <c r="A12" s="198">
        <v>7021</v>
      </c>
      <c r="B12" s="538" t="s">
        <v>741</v>
      </c>
      <c r="C12" s="538"/>
      <c r="D12" s="204">
        <v>3</v>
      </c>
      <c r="E12" s="200">
        <f>SUM(H12-(H12*Capa!$C$1))</f>
        <v>32.340000000000003</v>
      </c>
      <c r="F12" s="201">
        <f>SUM(I12-(I12*Capa!$C$1))</f>
        <v>30.72</v>
      </c>
      <c r="G12" s="162"/>
      <c r="H12" s="480">
        <v>32.340000000000003</v>
      </c>
      <c r="I12" s="481">
        <v>30.72</v>
      </c>
      <c r="J12" s="162"/>
      <c r="K12" s="162"/>
      <c r="L12" s="162"/>
    </row>
    <row r="13" spans="1:12" s="8" customFormat="1" ht="14.1" customHeight="1" x14ac:dyDescent="0.2">
      <c r="A13" s="198">
        <v>7033</v>
      </c>
      <c r="B13" s="539" t="s">
        <v>667</v>
      </c>
      <c r="C13" s="539"/>
      <c r="D13" s="199">
        <v>2.9</v>
      </c>
      <c r="E13" s="200">
        <f>SUM(H13-(H13*Capa!$C$1))</f>
        <v>18.760000000000002</v>
      </c>
      <c r="F13" s="201">
        <f>SUM(I13-(I13*Capa!$C$1))</f>
        <v>17.829999999999998</v>
      </c>
      <c r="G13" s="7"/>
      <c r="H13" s="206">
        <v>18.760000000000002</v>
      </c>
      <c r="I13" s="202">
        <v>17.829999999999998</v>
      </c>
      <c r="J13" s="7"/>
      <c r="K13" s="7"/>
      <c r="L13" s="7"/>
    </row>
    <row r="14" spans="1:12" s="8" customFormat="1" ht="14.1" customHeight="1" x14ac:dyDescent="0.2">
      <c r="A14" s="37">
        <v>7034</v>
      </c>
      <c r="B14" s="549" t="s">
        <v>668</v>
      </c>
      <c r="C14" s="549"/>
      <c r="D14" s="38">
        <v>2.8</v>
      </c>
      <c r="E14" s="39">
        <f>SUM(H14-(H14*Capa!$C$1))</f>
        <v>12.99</v>
      </c>
      <c r="F14" s="40">
        <f>SUM(I14-(I14*Capa!$C$1))</f>
        <v>12.34</v>
      </c>
      <c r="G14" s="7"/>
      <c r="H14" s="32">
        <v>12.99</v>
      </c>
      <c r="I14" s="31">
        <v>12.34</v>
      </c>
      <c r="J14" s="7"/>
      <c r="K14" s="7"/>
      <c r="L14" s="7"/>
    </row>
    <row r="15" spans="1:12" s="8" customFormat="1" ht="14.1" customHeight="1" x14ac:dyDescent="0.2">
      <c r="A15" s="198">
        <v>7035</v>
      </c>
      <c r="B15" s="550" t="s">
        <v>669</v>
      </c>
      <c r="C15" s="550"/>
      <c r="D15" s="199">
        <v>2.8</v>
      </c>
      <c r="E15" s="200">
        <f>SUM(H15-(H15*Capa!$C$1))</f>
        <v>12.99</v>
      </c>
      <c r="F15" s="201">
        <f>SUM(I15-(I15*Capa!$C$1))</f>
        <v>12.34</v>
      </c>
      <c r="G15" s="7"/>
      <c r="H15" s="206">
        <v>12.99</v>
      </c>
      <c r="I15" s="202">
        <v>12.34</v>
      </c>
      <c r="J15" s="7"/>
      <c r="K15" s="7"/>
      <c r="L15" s="7"/>
    </row>
    <row r="16" spans="1:12" s="8" customFormat="1" ht="14.1" customHeight="1" x14ac:dyDescent="0.2">
      <c r="A16" s="37">
        <v>7041</v>
      </c>
      <c r="B16" s="537" t="s">
        <v>612</v>
      </c>
      <c r="C16" s="537"/>
      <c r="D16" s="38">
        <v>3</v>
      </c>
      <c r="E16" s="39">
        <f>SUM(H16-(H16*Capa!$C$1))</f>
        <v>24.43</v>
      </c>
      <c r="F16" s="40">
        <f>SUM(I16-(I16*Capa!$C$1))</f>
        <v>23.21</v>
      </c>
      <c r="G16" s="7"/>
      <c r="H16" s="32">
        <v>24.43</v>
      </c>
      <c r="I16" s="31">
        <v>23.21</v>
      </c>
      <c r="J16" s="7"/>
      <c r="K16" s="7"/>
      <c r="L16" s="7"/>
    </row>
    <row r="17" spans="1:12" s="8" customFormat="1" ht="14.1" customHeight="1" x14ac:dyDescent="0.2">
      <c r="A17" s="198">
        <v>7052</v>
      </c>
      <c r="B17" s="539" t="s">
        <v>613</v>
      </c>
      <c r="C17" s="539"/>
      <c r="D17" s="199">
        <v>3</v>
      </c>
      <c r="E17" s="200">
        <f>SUM(H17-(H17*Capa!$C$1))</f>
        <v>25.65</v>
      </c>
      <c r="F17" s="201">
        <f>SUM(I17-(I17*Capa!$C$1))</f>
        <v>24.37</v>
      </c>
      <c r="G17" s="7"/>
      <c r="H17" s="206">
        <v>25.65</v>
      </c>
      <c r="I17" s="202">
        <v>24.37</v>
      </c>
      <c r="J17" s="7"/>
      <c r="K17" s="7"/>
      <c r="L17" s="7"/>
    </row>
    <row r="18" spans="1:12" s="8" customFormat="1" ht="14.1" customHeight="1" x14ac:dyDescent="0.2">
      <c r="A18" s="37">
        <v>7053</v>
      </c>
      <c r="B18" s="537" t="s">
        <v>1002</v>
      </c>
      <c r="C18" s="537"/>
      <c r="D18" s="38">
        <v>2.6</v>
      </c>
      <c r="E18" s="39">
        <f>SUM(H18-(H18*Capa!$C$1))</f>
        <v>23.46</v>
      </c>
      <c r="F18" s="40">
        <f>SUM(I18-(I18*Capa!$C$1))</f>
        <v>22.29</v>
      </c>
      <c r="G18" s="7"/>
      <c r="H18" s="32">
        <v>23.46</v>
      </c>
      <c r="I18" s="31">
        <v>22.29</v>
      </c>
      <c r="J18" s="7"/>
      <c r="K18" s="7"/>
      <c r="L18" s="7"/>
    </row>
    <row r="19" spans="1:12" s="53" customFormat="1" ht="28.35" customHeight="1" thickBot="1" x14ac:dyDescent="0.45">
      <c r="A19" s="541" t="s">
        <v>459</v>
      </c>
      <c r="B19" s="542"/>
      <c r="C19" s="542"/>
      <c r="D19" s="542"/>
      <c r="E19" s="542"/>
      <c r="F19" s="543"/>
      <c r="G19" s="209"/>
      <c r="H19" s="209"/>
      <c r="I19" s="209"/>
    </row>
    <row r="20" spans="1:12" s="50" customFormat="1" ht="14.85" customHeight="1" x14ac:dyDescent="0.2">
      <c r="A20" s="195" t="s">
        <v>132</v>
      </c>
      <c r="B20" s="196" t="s">
        <v>131</v>
      </c>
      <c r="C20" s="550" t="s">
        <v>345</v>
      </c>
      <c r="D20" s="550"/>
      <c r="E20" s="550" t="s">
        <v>98</v>
      </c>
      <c r="F20" s="551"/>
      <c r="H20" s="207" t="s">
        <v>345</v>
      </c>
      <c r="I20" s="208" t="s">
        <v>98</v>
      </c>
    </row>
    <row r="21" spans="1:12" s="50" customFormat="1" ht="14.85" customHeight="1" x14ac:dyDescent="0.2">
      <c r="A21" s="198" t="s">
        <v>1003</v>
      </c>
      <c r="B21" s="199">
        <v>1.4</v>
      </c>
      <c r="C21" s="536">
        <f>SUM(H21-(H21*Capa!$C$1))</f>
        <v>44.65</v>
      </c>
      <c r="D21" s="536"/>
      <c r="E21" s="533">
        <f>SUM(I21-(I21*Capa!$C$1))</f>
        <v>42.41</v>
      </c>
      <c r="F21" s="534"/>
      <c r="H21" s="211">
        <v>44.65</v>
      </c>
      <c r="I21" s="201">
        <v>42.41</v>
      </c>
    </row>
    <row r="22" spans="1:12" s="50" customFormat="1" ht="14.85" customHeight="1" x14ac:dyDescent="0.2">
      <c r="A22" s="37">
        <v>6006</v>
      </c>
      <c r="B22" s="38">
        <v>1.4</v>
      </c>
      <c r="C22" s="535">
        <f>SUM(H22-(H22*Capa!$C$1))</f>
        <v>47.68</v>
      </c>
      <c r="D22" s="535"/>
      <c r="E22" s="531">
        <f>SUM(I22-(I22*Capa!$C$1))</f>
        <v>45.29</v>
      </c>
      <c r="F22" s="532"/>
      <c r="H22" s="54">
        <v>47.68</v>
      </c>
      <c r="I22" s="40">
        <v>45.29</v>
      </c>
      <c r="J22" s="51"/>
    </row>
    <row r="23" spans="1:12" s="50" customFormat="1" ht="14.85" customHeight="1" x14ac:dyDescent="0.2">
      <c r="A23" s="37">
        <v>6012</v>
      </c>
      <c r="B23" s="38">
        <v>1.4</v>
      </c>
      <c r="C23" s="535">
        <f>SUM(H23-(H23*Capa!$C$1))</f>
        <v>45.29</v>
      </c>
      <c r="D23" s="535"/>
      <c r="E23" s="531">
        <f>SUM(I23-(I23*Capa!$C$1))</f>
        <v>43.02</v>
      </c>
      <c r="F23" s="532"/>
      <c r="H23" s="54">
        <v>45.29</v>
      </c>
      <c r="I23" s="40">
        <v>43.02</v>
      </c>
    </row>
    <row r="24" spans="1:12" s="50" customFormat="1" ht="14.85" customHeight="1" x14ac:dyDescent="0.2">
      <c r="A24" s="198">
        <v>6015</v>
      </c>
      <c r="B24" s="199">
        <v>1.4</v>
      </c>
      <c r="C24" s="536">
        <f>SUM(H24-(H24*Capa!$C$1))</f>
        <v>50.93</v>
      </c>
      <c r="D24" s="536"/>
      <c r="E24" s="533">
        <f>SUM(I24-(I24*Capa!$C$1))</f>
        <v>48.39</v>
      </c>
      <c r="F24" s="534"/>
      <c r="H24" s="211">
        <v>50.93</v>
      </c>
      <c r="I24" s="201">
        <v>48.39</v>
      </c>
    </row>
    <row r="25" spans="1:12" s="50" customFormat="1" ht="14.85" customHeight="1" x14ac:dyDescent="0.2">
      <c r="A25" s="37">
        <v>6016</v>
      </c>
      <c r="B25" s="38">
        <v>1.4</v>
      </c>
      <c r="C25" s="535">
        <f>SUM(H25-(H25*Capa!$C$1))</f>
        <v>38.479999999999997</v>
      </c>
      <c r="D25" s="535"/>
      <c r="E25" s="531">
        <f>SUM(I25-(I25*Capa!$C$1))</f>
        <v>40.4</v>
      </c>
      <c r="F25" s="532"/>
      <c r="H25" s="54">
        <v>38.479999999999997</v>
      </c>
      <c r="I25" s="40">
        <v>40.4</v>
      </c>
    </row>
    <row r="26" spans="1:12" s="50" customFormat="1" ht="14.85" customHeight="1" x14ac:dyDescent="0.2">
      <c r="A26" s="37">
        <v>6018</v>
      </c>
      <c r="B26" s="38">
        <v>1.4</v>
      </c>
      <c r="C26" s="535">
        <f>SUM(H26-(H26*Capa!$C$1))</f>
        <v>47.84</v>
      </c>
      <c r="D26" s="535"/>
      <c r="E26" s="531">
        <f>SUM(I26-(I26*Capa!$C$1))</f>
        <v>45.44</v>
      </c>
      <c r="F26" s="532"/>
      <c r="H26" s="54">
        <v>47.84</v>
      </c>
      <c r="I26" s="40">
        <v>45.44</v>
      </c>
    </row>
    <row r="27" spans="1:12" s="50" customFormat="1" ht="14.85" customHeight="1" x14ac:dyDescent="0.2">
      <c r="A27" s="198" t="s">
        <v>1004</v>
      </c>
      <c r="B27" s="199">
        <v>1.4</v>
      </c>
      <c r="C27" s="536">
        <f>SUM(H27-(H27*Capa!$C$1))</f>
        <v>39.229999999999997</v>
      </c>
      <c r="D27" s="536"/>
      <c r="E27" s="533">
        <f>SUM(I27-(I27*Capa!$C$1))</f>
        <v>37.26</v>
      </c>
      <c r="F27" s="534"/>
      <c r="H27" s="211">
        <v>39.229999999999997</v>
      </c>
      <c r="I27" s="201">
        <v>37.26</v>
      </c>
    </row>
    <row r="28" spans="1:12" s="50" customFormat="1" ht="14.85" customHeight="1" x14ac:dyDescent="0.2">
      <c r="A28" s="37" t="s">
        <v>1005</v>
      </c>
      <c r="B28" s="38">
        <v>1.4</v>
      </c>
      <c r="C28" s="535">
        <f>SUM(H28-(H28*Capa!$C$1))</f>
        <v>40.869999999999997</v>
      </c>
      <c r="D28" s="535"/>
      <c r="E28" s="531">
        <f>SUM(I28-(I28*Capa!$C$1))</f>
        <v>38.82</v>
      </c>
      <c r="F28" s="532"/>
      <c r="H28" s="54">
        <v>40.869999999999997</v>
      </c>
      <c r="I28" s="40">
        <v>38.82</v>
      </c>
    </row>
    <row r="29" spans="1:12" s="50" customFormat="1" ht="14.85" customHeight="1" x14ac:dyDescent="0.2">
      <c r="A29" s="198" t="s">
        <v>1006</v>
      </c>
      <c r="B29" s="199">
        <v>1.4</v>
      </c>
      <c r="C29" s="536">
        <f>SUM(H29-(H29*Capa!$C$1))</f>
        <v>41.05</v>
      </c>
      <c r="D29" s="536"/>
      <c r="E29" s="533">
        <f>SUM(I29-(I29*Capa!$C$1))</f>
        <v>39</v>
      </c>
      <c r="F29" s="534"/>
      <c r="H29" s="211">
        <v>41.05</v>
      </c>
      <c r="I29" s="201">
        <v>39</v>
      </c>
    </row>
    <row r="30" spans="1:12" s="50" customFormat="1" ht="14.85" customHeight="1" x14ac:dyDescent="0.2">
      <c r="A30" s="37">
        <v>6024</v>
      </c>
      <c r="B30" s="38">
        <v>1.4</v>
      </c>
      <c r="C30" s="535">
        <f>SUM(H30-(H30*Capa!$C$1))</f>
        <v>41.05</v>
      </c>
      <c r="D30" s="535"/>
      <c r="E30" s="531">
        <f>SUM(I30-(I30*Capa!$C$1))</f>
        <v>39</v>
      </c>
      <c r="F30" s="532"/>
      <c r="H30" s="54">
        <v>41.05</v>
      </c>
      <c r="I30" s="40">
        <v>39</v>
      </c>
    </row>
    <row r="31" spans="1:12" s="50" customFormat="1" ht="14.85" customHeight="1" x14ac:dyDescent="0.2">
      <c r="A31" s="198">
        <v>6025</v>
      </c>
      <c r="B31" s="199">
        <v>1.4</v>
      </c>
      <c r="C31" s="536">
        <f>SUM(H31-(H31*Capa!$C$1))</f>
        <v>41.05</v>
      </c>
      <c r="D31" s="536"/>
      <c r="E31" s="533">
        <f>SUM(I31-(I31*Capa!$C$1))</f>
        <v>39</v>
      </c>
      <c r="F31" s="534"/>
      <c r="H31" s="211">
        <v>41.05</v>
      </c>
      <c r="I31" s="201">
        <v>39</v>
      </c>
    </row>
    <row r="32" spans="1:12" s="50" customFormat="1" ht="14.85" customHeight="1" thickBot="1" x14ac:dyDescent="0.25">
      <c r="A32" s="37">
        <v>6026</v>
      </c>
      <c r="B32" s="38">
        <v>1.4</v>
      </c>
      <c r="C32" s="535">
        <f>SUM(H32-(H32*Capa!$C$1))</f>
        <v>42.84</v>
      </c>
      <c r="D32" s="535"/>
      <c r="E32" s="531">
        <f>SUM(I32-(I32*Capa!$C$1))</f>
        <v>40.69</v>
      </c>
      <c r="F32" s="532"/>
      <c r="H32" s="55">
        <v>42.84</v>
      </c>
      <c r="I32" s="52">
        <v>40.69</v>
      </c>
    </row>
    <row r="33" spans="1:11" s="53" customFormat="1" ht="28.35" customHeight="1" thickBot="1" x14ac:dyDescent="0.45">
      <c r="A33" s="541" t="s">
        <v>579</v>
      </c>
      <c r="B33" s="542"/>
      <c r="C33" s="542"/>
      <c r="D33" s="542"/>
      <c r="E33" s="542"/>
      <c r="F33" s="543"/>
      <c r="G33" s="209"/>
      <c r="H33" s="209"/>
      <c r="I33" s="209"/>
    </row>
    <row r="34" spans="1:11" ht="14.1" customHeight="1" x14ac:dyDescent="0.2">
      <c r="A34" s="195" t="s">
        <v>132</v>
      </c>
      <c r="B34" s="550" t="s">
        <v>114</v>
      </c>
      <c r="C34" s="550"/>
      <c r="D34" s="550"/>
      <c r="E34" s="196" t="s">
        <v>131</v>
      </c>
      <c r="F34" s="197" t="s">
        <v>345</v>
      </c>
      <c r="H34" s="505" t="s">
        <v>345</v>
      </c>
      <c r="I34" s="30"/>
      <c r="J34" s="30"/>
      <c r="K34" s="30"/>
    </row>
    <row r="35" spans="1:11" ht="14.1" customHeight="1" x14ac:dyDescent="0.2">
      <c r="A35" s="215">
        <v>9001</v>
      </c>
      <c r="B35" s="552" t="s">
        <v>548</v>
      </c>
      <c r="C35" s="552"/>
      <c r="D35" s="552"/>
      <c r="E35" s="216">
        <v>2.9</v>
      </c>
      <c r="F35" s="504">
        <f>SUM(H35-(H35*Capa!$C$1))</f>
        <v>9.4600000000000009</v>
      </c>
      <c r="H35" s="506">
        <v>9.4600000000000009</v>
      </c>
      <c r="I35" s="30"/>
      <c r="J35" s="30"/>
      <c r="K35" s="30"/>
    </row>
    <row r="36" spans="1:11" s="23" customFormat="1" ht="14.1" customHeight="1" x14ac:dyDescent="0.2">
      <c r="A36" s="27">
        <v>9003</v>
      </c>
      <c r="B36" s="553" t="s">
        <v>1008</v>
      </c>
      <c r="C36" s="553"/>
      <c r="D36" s="553"/>
      <c r="E36" s="28">
        <v>2.8</v>
      </c>
      <c r="F36" s="509">
        <f>SUM(H36-(H36*Capa!$C$1))</f>
        <v>12.21</v>
      </c>
      <c r="G36" s="163"/>
      <c r="H36" s="507">
        <v>12.21</v>
      </c>
    </row>
    <row r="37" spans="1:11" s="23" customFormat="1" ht="14.1" customHeight="1" x14ac:dyDescent="0.2">
      <c r="A37" s="215">
        <v>9004</v>
      </c>
      <c r="B37" s="554" t="s">
        <v>1007</v>
      </c>
      <c r="C37" s="554"/>
      <c r="D37" s="554"/>
      <c r="E37" s="216">
        <v>3</v>
      </c>
      <c r="F37" s="504">
        <f>SUM(H37-(H37*Capa!$C$1))</f>
        <v>7.67</v>
      </c>
      <c r="G37" s="163"/>
      <c r="H37" s="506">
        <v>7.67</v>
      </c>
    </row>
    <row r="38" spans="1:11" s="8" customFormat="1" ht="14.1" customHeight="1" x14ac:dyDescent="0.2">
      <c r="A38" s="27">
        <v>9006</v>
      </c>
      <c r="B38" s="553" t="s">
        <v>553</v>
      </c>
      <c r="C38" s="553"/>
      <c r="D38" s="553"/>
      <c r="E38" s="28">
        <v>1.46</v>
      </c>
      <c r="F38" s="509">
        <f>SUM(H38-(H38*Capa!$C$1))</f>
        <v>16.75</v>
      </c>
      <c r="G38" s="7"/>
      <c r="H38" s="507">
        <v>16.75</v>
      </c>
      <c r="I38" s="7"/>
      <c r="J38" s="7"/>
      <c r="K38" s="7"/>
    </row>
    <row r="39" spans="1:11" s="161" customFormat="1" ht="14.1" customHeight="1" x14ac:dyDescent="0.2">
      <c r="A39" s="215">
        <v>9007</v>
      </c>
      <c r="B39" s="552" t="s">
        <v>1009</v>
      </c>
      <c r="C39" s="552"/>
      <c r="D39" s="552"/>
      <c r="E39" s="216">
        <v>2.8</v>
      </c>
      <c r="F39" s="504">
        <f>SUM(H39-(H39*Capa!$C$1))</f>
        <v>6.78</v>
      </c>
      <c r="G39" s="162"/>
      <c r="H39" s="506">
        <v>6.78</v>
      </c>
      <c r="I39" s="162"/>
      <c r="J39" s="162"/>
      <c r="K39" s="162"/>
    </row>
    <row r="40" spans="1:11" s="23" customFormat="1" ht="14.1" customHeight="1" x14ac:dyDescent="0.2">
      <c r="A40" s="27">
        <v>9008</v>
      </c>
      <c r="B40" s="553" t="s">
        <v>1010</v>
      </c>
      <c r="C40" s="553"/>
      <c r="D40" s="553"/>
      <c r="E40" s="28">
        <v>2.8</v>
      </c>
      <c r="F40" s="509">
        <f>SUM(H40-(H40*Capa!$C$1))</f>
        <v>11.31</v>
      </c>
      <c r="G40" s="163"/>
      <c r="H40" s="507">
        <v>11.31</v>
      </c>
    </row>
    <row r="41" spans="1:11" s="23" customFormat="1" ht="14.1" customHeight="1" x14ac:dyDescent="0.2">
      <c r="A41" s="215">
        <v>9009</v>
      </c>
      <c r="B41" s="552" t="s">
        <v>1011</v>
      </c>
      <c r="C41" s="552"/>
      <c r="D41" s="552"/>
      <c r="E41" s="216">
        <v>3</v>
      </c>
      <c r="F41" s="504">
        <f>SUM(H41-(H41*Capa!$C$1))</f>
        <v>8.33</v>
      </c>
      <c r="G41" s="163"/>
      <c r="H41" s="506">
        <v>8.33</v>
      </c>
    </row>
    <row r="42" spans="1:11" s="53" customFormat="1" ht="22.5" customHeight="1" thickBot="1" x14ac:dyDescent="0.45">
      <c r="A42" s="541" t="s">
        <v>598</v>
      </c>
      <c r="B42" s="542"/>
      <c r="C42" s="542"/>
      <c r="D42" s="542"/>
      <c r="E42" s="542"/>
      <c r="F42" s="543"/>
      <c r="G42" s="209"/>
      <c r="H42" s="209"/>
      <c r="I42" s="209"/>
    </row>
    <row r="43" spans="1:11" ht="14.1" customHeight="1" x14ac:dyDescent="0.2">
      <c r="A43" s="195" t="s">
        <v>132</v>
      </c>
      <c r="B43" s="550" t="s">
        <v>114</v>
      </c>
      <c r="C43" s="550"/>
      <c r="D43" s="550"/>
      <c r="E43" s="196" t="s">
        <v>131</v>
      </c>
      <c r="F43" s="197" t="s">
        <v>345</v>
      </c>
      <c r="H43" s="505" t="s">
        <v>345</v>
      </c>
      <c r="I43" s="30"/>
      <c r="J43" s="30"/>
      <c r="K43" s="30"/>
    </row>
    <row r="44" spans="1:11" ht="14.1" customHeight="1" x14ac:dyDescent="0.2">
      <c r="A44" s="215">
        <v>10000</v>
      </c>
      <c r="B44" s="555" t="s">
        <v>1029</v>
      </c>
      <c r="C44" s="555"/>
      <c r="D44" s="555"/>
      <c r="E44" s="216">
        <v>1.4</v>
      </c>
      <c r="F44" s="504">
        <f>SUM(H44-(H44*Capa!$C$1))</f>
        <v>30.77</v>
      </c>
      <c r="H44" s="506">
        <v>30.77</v>
      </c>
      <c r="I44" s="30"/>
      <c r="J44" s="30"/>
      <c r="K44" s="30"/>
    </row>
    <row r="45" spans="1:11" s="23" customFormat="1" ht="14.1" customHeight="1" x14ac:dyDescent="0.2">
      <c r="A45" s="27">
        <v>10002</v>
      </c>
      <c r="B45" s="556" t="s">
        <v>1030</v>
      </c>
      <c r="C45" s="556"/>
      <c r="D45" s="556"/>
      <c r="E45" s="28">
        <v>1.4</v>
      </c>
      <c r="F45" s="509">
        <f>SUM(H45-(H45*Capa!$C$1))</f>
        <v>38.29</v>
      </c>
      <c r="G45" s="163"/>
      <c r="H45" s="507">
        <v>38.29</v>
      </c>
    </row>
    <row r="46" spans="1:11" s="23" customFormat="1" ht="14.1" customHeight="1" x14ac:dyDescent="0.2">
      <c r="A46" s="215">
        <v>10016</v>
      </c>
      <c r="B46" s="557" t="s">
        <v>1031</v>
      </c>
      <c r="C46" s="557"/>
      <c r="D46" s="557"/>
      <c r="E46" s="216">
        <v>2.8</v>
      </c>
      <c r="F46" s="504">
        <f>SUM(H46-(H46*Capa!$C$1))</f>
        <v>46.27</v>
      </c>
      <c r="G46" s="163"/>
      <c r="H46" s="506">
        <v>46.27</v>
      </c>
    </row>
    <row r="47" spans="1:11" s="8" customFormat="1" ht="14.1" customHeight="1" x14ac:dyDescent="0.2">
      <c r="A47" s="27">
        <v>10017</v>
      </c>
      <c r="B47" s="556" t="s">
        <v>1032</v>
      </c>
      <c r="C47" s="556"/>
      <c r="D47" s="556"/>
      <c r="E47" s="28">
        <v>2.8</v>
      </c>
      <c r="F47" s="509">
        <f>SUM(H47-(H47*Capa!$C$1))</f>
        <v>43.39</v>
      </c>
      <c r="G47" s="7"/>
      <c r="H47" s="507">
        <v>43.39</v>
      </c>
      <c r="I47" s="7"/>
      <c r="J47" s="7"/>
      <c r="K47" s="7"/>
    </row>
    <row r="48" spans="1:11" s="161" customFormat="1" ht="14.1" customHeight="1" x14ac:dyDescent="0.2">
      <c r="A48" s="215">
        <v>10023</v>
      </c>
      <c r="B48" s="555" t="s">
        <v>1033</v>
      </c>
      <c r="C48" s="555"/>
      <c r="D48" s="555"/>
      <c r="E48" s="216">
        <v>3</v>
      </c>
      <c r="F48" s="504">
        <f>SUM(H48-(H48*Capa!$C$1))</f>
        <v>29.8</v>
      </c>
      <c r="G48" s="162"/>
      <c r="H48" s="506">
        <v>29.8</v>
      </c>
      <c r="I48" s="162"/>
      <c r="J48" s="162"/>
      <c r="K48" s="162"/>
    </row>
    <row r="49" spans="1:11" s="23" customFormat="1" ht="14.1" customHeight="1" x14ac:dyDescent="0.2">
      <c r="A49" s="27">
        <v>10024</v>
      </c>
      <c r="B49" s="556" t="s">
        <v>1034</v>
      </c>
      <c r="C49" s="556"/>
      <c r="D49" s="556"/>
      <c r="E49" s="28">
        <v>3</v>
      </c>
      <c r="F49" s="509">
        <f>SUM(H49-(H49*Capa!$C$1))</f>
        <v>20.94</v>
      </c>
      <c r="G49" s="163"/>
      <c r="H49" s="507">
        <v>20.94</v>
      </c>
    </row>
    <row r="50" spans="1:11" s="23" customFormat="1" ht="14.1" customHeight="1" x14ac:dyDescent="0.2">
      <c r="A50" s="215">
        <v>10026</v>
      </c>
      <c r="B50" s="555" t="s">
        <v>1035</v>
      </c>
      <c r="C50" s="555"/>
      <c r="D50" s="555"/>
      <c r="E50" s="216">
        <v>3</v>
      </c>
      <c r="F50" s="504">
        <f>SUM(H50-(H50*Capa!$C$1))</f>
        <v>23.81</v>
      </c>
      <c r="G50" s="163"/>
      <c r="H50" s="506">
        <v>23.81</v>
      </c>
    </row>
    <row r="51" spans="1:11" s="23" customFormat="1" ht="14.1" customHeight="1" x14ac:dyDescent="0.2">
      <c r="A51" s="27">
        <v>10031</v>
      </c>
      <c r="B51" s="556" t="s">
        <v>1036</v>
      </c>
      <c r="C51" s="556"/>
      <c r="D51" s="556"/>
      <c r="E51" s="28">
        <v>2.9</v>
      </c>
      <c r="F51" s="509">
        <f>SUM(H51-(H51*Capa!$C$1))</f>
        <v>16.14</v>
      </c>
      <c r="G51" s="163"/>
      <c r="H51" s="507">
        <v>16.14</v>
      </c>
    </row>
    <row r="52" spans="1:11" s="23" customFormat="1" ht="14.1" customHeight="1" x14ac:dyDescent="0.2">
      <c r="A52" s="215">
        <v>10039</v>
      </c>
      <c r="B52" s="557" t="s">
        <v>1037</v>
      </c>
      <c r="C52" s="557"/>
      <c r="D52" s="557"/>
      <c r="E52" s="216">
        <v>3</v>
      </c>
      <c r="F52" s="504">
        <f>SUM(H52-(H52*Capa!$C$1))</f>
        <v>10.17</v>
      </c>
      <c r="G52" s="163"/>
      <c r="H52" s="506">
        <v>10.17</v>
      </c>
    </row>
    <row r="53" spans="1:11" s="23" customFormat="1" ht="14.1" customHeight="1" x14ac:dyDescent="0.2">
      <c r="A53" s="27">
        <v>12013</v>
      </c>
      <c r="B53" s="556" t="s">
        <v>1040</v>
      </c>
      <c r="C53" s="556"/>
      <c r="D53" s="556"/>
      <c r="E53" s="28">
        <v>3</v>
      </c>
      <c r="F53" s="509">
        <f>SUM(H53-(H53*Capa!$C$1))</f>
        <v>11.67</v>
      </c>
      <c r="G53" s="163"/>
      <c r="H53" s="507">
        <v>11.67</v>
      </c>
    </row>
    <row r="54" spans="1:11" s="23" customFormat="1" ht="14.1" customHeight="1" x14ac:dyDescent="0.2">
      <c r="A54" s="215">
        <v>12015</v>
      </c>
      <c r="B54" s="555" t="s">
        <v>1041</v>
      </c>
      <c r="C54" s="555"/>
      <c r="D54" s="555"/>
      <c r="E54" s="216">
        <v>3</v>
      </c>
      <c r="F54" s="504">
        <f>SUM(H54-(H54*Capa!$C$1))</f>
        <v>35.64</v>
      </c>
      <c r="G54" s="163"/>
      <c r="H54" s="506">
        <v>35.64</v>
      </c>
    </row>
    <row r="55" spans="1:11" s="8" customFormat="1" ht="14.1" customHeight="1" x14ac:dyDescent="0.2">
      <c r="A55" s="27">
        <v>12025</v>
      </c>
      <c r="B55" s="556" t="s">
        <v>1042</v>
      </c>
      <c r="C55" s="556"/>
      <c r="D55" s="556"/>
      <c r="E55" s="28">
        <v>2.8</v>
      </c>
      <c r="F55" s="509">
        <f>SUM(H55-(H55*Capa!$C$1))</f>
        <v>5.92</v>
      </c>
      <c r="G55" s="7"/>
      <c r="H55" s="507">
        <v>5.92</v>
      </c>
      <c r="I55" s="7"/>
      <c r="J55" s="7"/>
      <c r="K55" s="7"/>
    </row>
    <row r="56" spans="1:11" s="161" customFormat="1" ht="14.1" customHeight="1" x14ac:dyDescent="0.2">
      <c r="A56" s="215">
        <v>12033</v>
      </c>
      <c r="B56" s="555" t="s">
        <v>1043</v>
      </c>
      <c r="C56" s="555"/>
      <c r="D56" s="555"/>
      <c r="E56" s="216">
        <v>3</v>
      </c>
      <c r="F56" s="504">
        <f>SUM(H56-(H56*Capa!$C$1))</f>
        <v>17.59</v>
      </c>
      <c r="G56" s="162"/>
      <c r="H56" s="506">
        <v>17.59</v>
      </c>
      <c r="I56" s="162"/>
      <c r="J56" s="162"/>
      <c r="K56" s="162"/>
    </row>
    <row r="57" spans="1:11" ht="14.1" customHeight="1" thickBot="1" x14ac:dyDescent="0.25">
      <c r="A57" s="529" t="s">
        <v>328</v>
      </c>
      <c r="B57" s="530"/>
      <c r="C57" s="547">
        <f>Capa!H2</f>
        <v>0</v>
      </c>
      <c r="D57" s="547"/>
      <c r="E57" s="547"/>
      <c r="F57" s="548"/>
      <c r="H57" s="508"/>
    </row>
  </sheetData>
  <sheetProtection sheet="1" objects="1" scenarios="1"/>
  <mergeCells count="71">
    <mergeCell ref="B53:D53"/>
    <mergeCell ref="B54:D54"/>
    <mergeCell ref="B55:D55"/>
    <mergeCell ref="B56:D56"/>
    <mergeCell ref="B49:D49"/>
    <mergeCell ref="B50:D50"/>
    <mergeCell ref="B51:D51"/>
    <mergeCell ref="B52:D52"/>
    <mergeCell ref="B44:D44"/>
    <mergeCell ref="B45:D45"/>
    <mergeCell ref="B46:D46"/>
    <mergeCell ref="B47:D47"/>
    <mergeCell ref="B48:D48"/>
    <mergeCell ref="B34:D34"/>
    <mergeCell ref="B35:D35"/>
    <mergeCell ref="B43:D43"/>
    <mergeCell ref="B41:D41"/>
    <mergeCell ref="B40:D40"/>
    <mergeCell ref="B39:D39"/>
    <mergeCell ref="B38:D38"/>
    <mergeCell ref="B37:D37"/>
    <mergeCell ref="B36:D36"/>
    <mergeCell ref="A42:F42"/>
    <mergeCell ref="A33:F33"/>
    <mergeCell ref="A1:F1"/>
    <mergeCell ref="C57:F57"/>
    <mergeCell ref="B14:C14"/>
    <mergeCell ref="B15:C15"/>
    <mergeCell ref="B16:C16"/>
    <mergeCell ref="B17:C17"/>
    <mergeCell ref="B18:C18"/>
    <mergeCell ref="A19:F19"/>
    <mergeCell ref="E20:F20"/>
    <mergeCell ref="E21:F21"/>
    <mergeCell ref="C20:D20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C22:D22"/>
    <mergeCell ref="C23:D23"/>
    <mergeCell ref="C21:D21"/>
    <mergeCell ref="E31:F31"/>
    <mergeCell ref="E32:F32"/>
    <mergeCell ref="E26:F26"/>
    <mergeCell ref="E27:F27"/>
    <mergeCell ref="E28:F28"/>
    <mergeCell ref="A57:B57"/>
    <mergeCell ref="E22:F22"/>
    <mergeCell ref="E25:F25"/>
    <mergeCell ref="E23:F23"/>
    <mergeCell ref="E24:F24"/>
    <mergeCell ref="C28:D28"/>
    <mergeCell ref="C27:D27"/>
    <mergeCell ref="C26:D26"/>
    <mergeCell ref="C32:D32"/>
    <mergeCell ref="C31:D31"/>
    <mergeCell ref="C30:D30"/>
    <mergeCell ref="C29:D29"/>
    <mergeCell ref="E29:F29"/>
    <mergeCell ref="E30:F30"/>
    <mergeCell ref="C25:D25"/>
    <mergeCell ref="C24:D24"/>
  </mergeCells>
  <printOptions horizontalCentered="1"/>
  <pageMargins left="0.23622047244094491" right="0.23622047244094491" top="0.39370078740157483" bottom="0.19685039370078741" header="0.19685039370078741" footer="0"/>
  <pageSetup paperSize="9" scale="86" fitToWidth="0" fitToHeight="0" orientation="portrait" r:id="rId1"/>
  <headerFoot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DC7B-9307-4C67-B13A-BC0CFCF82B73}">
  <dimension ref="A1:K51"/>
  <sheetViews>
    <sheetView showGridLines="0" showWhiteSpace="0" view="pageLayout" zoomScaleNormal="100" workbookViewId="0">
      <selection sqref="A1:F1"/>
    </sheetView>
  </sheetViews>
  <sheetFormatPr defaultRowHeight="12.75" x14ac:dyDescent="0.2"/>
  <cols>
    <col min="1" max="1" width="10.7109375" customWidth="1"/>
    <col min="2" max="2" width="45.7109375" customWidth="1"/>
    <col min="3" max="3" width="11.42578125" customWidth="1"/>
    <col min="4" max="6" width="10.7109375" customWidth="1"/>
    <col min="8" max="9" width="12.7109375" style="22" hidden="1" customWidth="1"/>
  </cols>
  <sheetData>
    <row r="1" spans="1:11" ht="39.950000000000003" customHeight="1" thickBot="1" x14ac:dyDescent="0.25">
      <c r="A1" s="558" t="s">
        <v>598</v>
      </c>
      <c r="B1" s="559"/>
      <c r="C1" s="559"/>
      <c r="D1" s="559"/>
      <c r="E1" s="559"/>
      <c r="F1" s="560"/>
      <c r="G1" s="4"/>
      <c r="H1" s="49"/>
      <c r="I1" s="49"/>
      <c r="J1" s="4"/>
      <c r="K1" s="4"/>
    </row>
    <row r="2" spans="1:11" ht="15" customHeight="1" x14ac:dyDescent="0.2">
      <c r="A2" s="212" t="s">
        <v>132</v>
      </c>
      <c r="B2" s="562" t="s">
        <v>114</v>
      </c>
      <c r="C2" s="562"/>
      <c r="D2" s="213" t="s">
        <v>131</v>
      </c>
      <c r="E2" s="213" t="s">
        <v>345</v>
      </c>
      <c r="F2" s="214" t="s">
        <v>98</v>
      </c>
      <c r="G2" s="4"/>
      <c r="H2" s="25" t="s">
        <v>345</v>
      </c>
      <c r="I2" s="26" t="s">
        <v>98</v>
      </c>
      <c r="J2" s="4"/>
      <c r="K2" s="4"/>
    </row>
    <row r="3" spans="1:11" s="8" customFormat="1" ht="15" customHeight="1" x14ac:dyDescent="0.2">
      <c r="A3" s="499" t="s">
        <v>1013</v>
      </c>
      <c r="B3" s="561" t="s">
        <v>1012</v>
      </c>
      <c r="C3" s="561"/>
      <c r="D3" s="28">
        <v>1.4</v>
      </c>
      <c r="E3" s="357">
        <f>SUM(H3-(H3*Capa!$C$1))</f>
        <v>83.65</v>
      </c>
      <c r="F3" s="170">
        <f>SUM(I3-(I3*Capa!$C$1))</f>
        <v>79.47</v>
      </c>
      <c r="G3" s="7"/>
      <c r="H3" s="165">
        <v>83.65</v>
      </c>
      <c r="I3" s="170">
        <v>79.47</v>
      </c>
      <c r="J3" s="7"/>
      <c r="K3" s="7"/>
    </row>
    <row r="4" spans="1:11" s="8" customFormat="1" ht="15" customHeight="1" x14ac:dyDescent="0.2">
      <c r="A4" s="215">
        <v>10003</v>
      </c>
      <c r="B4" s="552" t="s">
        <v>599</v>
      </c>
      <c r="C4" s="552"/>
      <c r="D4" s="216">
        <v>1.45</v>
      </c>
      <c r="E4" s="217">
        <f>SUM(H4-(H4*Capa!$C$1))</f>
        <v>78.900000000000006</v>
      </c>
      <c r="F4" s="193">
        <f>SUM(I4-(I4*Capa!$C$1))</f>
        <v>75.14</v>
      </c>
      <c r="G4" s="7"/>
      <c r="H4" s="192">
        <v>78.900000000000006</v>
      </c>
      <c r="I4" s="193">
        <v>75.14</v>
      </c>
      <c r="J4" s="7"/>
      <c r="K4" s="7"/>
    </row>
    <row r="5" spans="1:11" s="8" customFormat="1" ht="15" customHeight="1" x14ac:dyDescent="0.2">
      <c r="A5" s="27">
        <v>10004</v>
      </c>
      <c r="B5" s="553" t="s">
        <v>600</v>
      </c>
      <c r="C5" s="553"/>
      <c r="D5" s="28">
        <v>1.45</v>
      </c>
      <c r="E5" s="357">
        <f>SUM(H5-(H5*Capa!$C$1))</f>
        <v>92.56</v>
      </c>
      <c r="F5" s="170">
        <f>SUM(I5-(I5*Capa!$C$1))</f>
        <v>97.18</v>
      </c>
      <c r="G5" s="7"/>
      <c r="H5" s="165">
        <v>92.56</v>
      </c>
      <c r="I5" s="170">
        <v>97.18</v>
      </c>
      <c r="J5" s="7"/>
      <c r="K5" s="7"/>
    </row>
    <row r="6" spans="1:11" s="8" customFormat="1" ht="15" customHeight="1" x14ac:dyDescent="0.2">
      <c r="A6" s="212" t="s">
        <v>866</v>
      </c>
      <c r="B6" s="563" t="s">
        <v>867</v>
      </c>
      <c r="C6" s="563"/>
      <c r="D6" s="216">
        <v>2.8</v>
      </c>
      <c r="E6" s="217">
        <f>SUM(H6-(H6*Capa!$C$1))</f>
        <v>95.95</v>
      </c>
      <c r="F6" s="193">
        <f>SUM(I6-(I6*Capa!$C$1))</f>
        <v>91.15</v>
      </c>
      <c r="G6" s="7"/>
      <c r="H6" s="192">
        <v>95.95</v>
      </c>
      <c r="I6" s="193">
        <v>91.15</v>
      </c>
      <c r="J6" s="7"/>
      <c r="K6" s="7"/>
    </row>
    <row r="7" spans="1:11" s="8" customFormat="1" ht="15" customHeight="1" x14ac:dyDescent="0.2">
      <c r="A7" s="27">
        <v>10006</v>
      </c>
      <c r="B7" s="553" t="s">
        <v>601</v>
      </c>
      <c r="C7" s="553"/>
      <c r="D7" s="28">
        <v>2.9</v>
      </c>
      <c r="E7" s="357">
        <f>SUM(H7-(H7*Capa!$C$1))</f>
        <v>90.98</v>
      </c>
      <c r="F7" s="170">
        <f>SUM(I7-(I7*Capa!$C$1))</f>
        <v>86.46</v>
      </c>
      <c r="G7" s="7"/>
      <c r="H7" s="165">
        <v>90.98</v>
      </c>
      <c r="I7" s="170">
        <v>86.46</v>
      </c>
      <c r="J7" s="7"/>
      <c r="K7" s="164"/>
    </row>
    <row r="8" spans="1:11" s="8" customFormat="1" ht="15" customHeight="1" x14ac:dyDescent="0.2">
      <c r="A8" s="215">
        <v>10007</v>
      </c>
      <c r="B8" s="552" t="s">
        <v>602</v>
      </c>
      <c r="C8" s="552"/>
      <c r="D8" s="216">
        <v>2.9</v>
      </c>
      <c r="E8" s="217">
        <f>SUM(H8-(H8*Capa!$C$1))</f>
        <v>97.2</v>
      </c>
      <c r="F8" s="193">
        <f>SUM(I8-(I8*Capa!$C$1))</f>
        <v>92.57</v>
      </c>
      <c r="G8" s="7"/>
      <c r="H8" s="192">
        <v>97.2</v>
      </c>
      <c r="I8" s="193">
        <v>92.57</v>
      </c>
      <c r="J8" s="7"/>
      <c r="K8" s="7"/>
    </row>
    <row r="9" spans="1:11" s="8" customFormat="1" ht="15" customHeight="1" x14ac:dyDescent="0.2">
      <c r="A9" s="27">
        <v>10008</v>
      </c>
      <c r="B9" s="553" t="s">
        <v>354</v>
      </c>
      <c r="C9" s="553"/>
      <c r="D9" s="28">
        <v>3</v>
      </c>
      <c r="E9" s="357">
        <f>SUM(H9-(H9*Capa!$C$1))</f>
        <v>54.92</v>
      </c>
      <c r="F9" s="170">
        <f>SUM(I9-(I9*Capa!$C$1))</f>
        <v>52.17</v>
      </c>
      <c r="G9" s="7"/>
      <c r="H9" s="165">
        <v>54.92</v>
      </c>
      <c r="I9" s="170">
        <v>52.17</v>
      </c>
      <c r="J9" s="7"/>
      <c r="K9" s="7"/>
    </row>
    <row r="10" spans="1:11" s="8" customFormat="1" ht="15" customHeight="1" x14ac:dyDescent="0.2">
      <c r="A10" s="212" t="s">
        <v>1015</v>
      </c>
      <c r="B10" s="563" t="s">
        <v>1014</v>
      </c>
      <c r="C10" s="563"/>
      <c r="D10" s="216">
        <v>2.95</v>
      </c>
      <c r="E10" s="217">
        <f>SUM(H10-(H10*Capa!$C$1))</f>
        <v>29.33</v>
      </c>
      <c r="F10" s="193">
        <f>SUM(I10-(I10*Capa!$C$1))</f>
        <v>27.86</v>
      </c>
      <c r="G10" s="7"/>
      <c r="H10" s="192">
        <v>29.33</v>
      </c>
      <c r="I10" s="193">
        <v>27.86</v>
      </c>
      <c r="J10" s="7"/>
      <c r="K10" s="7"/>
    </row>
    <row r="11" spans="1:11" s="8" customFormat="1" ht="15" customHeight="1" x14ac:dyDescent="0.2">
      <c r="A11" s="499" t="s">
        <v>1017</v>
      </c>
      <c r="B11" s="561" t="s">
        <v>1016</v>
      </c>
      <c r="C11" s="561"/>
      <c r="D11" s="28">
        <v>3</v>
      </c>
      <c r="E11" s="357">
        <f>SUM(H11-(H11*Capa!$C$1))</f>
        <v>42.13</v>
      </c>
      <c r="F11" s="170">
        <f>SUM(I11-(I11*Capa!$C$1))</f>
        <v>40.020000000000003</v>
      </c>
      <c r="G11" s="7"/>
      <c r="H11" s="165">
        <v>42.13</v>
      </c>
      <c r="I11" s="170">
        <v>40.020000000000003</v>
      </c>
      <c r="J11" s="7"/>
      <c r="K11" s="7"/>
    </row>
    <row r="12" spans="1:11" s="8" customFormat="1" ht="15" customHeight="1" x14ac:dyDescent="0.2">
      <c r="A12" s="212" t="s">
        <v>1018</v>
      </c>
      <c r="B12" s="563" t="s">
        <v>1020</v>
      </c>
      <c r="C12" s="563"/>
      <c r="D12" s="216">
        <v>2.9</v>
      </c>
      <c r="E12" s="217">
        <f>SUM(H12-(H12*Capa!$C$1))</f>
        <v>44.04</v>
      </c>
      <c r="F12" s="193">
        <f>SUM(I12-(I12*Capa!$C$1))</f>
        <v>41.83</v>
      </c>
      <c r="G12" s="7"/>
      <c r="H12" s="192">
        <v>44.04</v>
      </c>
      <c r="I12" s="193">
        <v>41.83</v>
      </c>
      <c r="J12" s="7"/>
      <c r="K12" s="7"/>
    </row>
    <row r="13" spans="1:11" s="8" customFormat="1" ht="15" customHeight="1" x14ac:dyDescent="0.2">
      <c r="A13" s="499" t="s">
        <v>1019</v>
      </c>
      <c r="B13" s="561" t="s">
        <v>1021</v>
      </c>
      <c r="C13" s="561"/>
      <c r="D13" s="28">
        <v>2.9</v>
      </c>
      <c r="E13" s="357">
        <f>SUM(H13-(H13*Capa!$C$1))</f>
        <v>46.68</v>
      </c>
      <c r="F13" s="170">
        <f>SUM(I13-(I13*Capa!$C$1))</f>
        <v>44.34</v>
      </c>
      <c r="G13" s="7"/>
      <c r="H13" s="165">
        <v>46.68</v>
      </c>
      <c r="I13" s="170">
        <v>44.34</v>
      </c>
      <c r="J13" s="7"/>
      <c r="K13" s="7"/>
    </row>
    <row r="14" spans="1:11" s="8" customFormat="1" ht="15" customHeight="1" x14ac:dyDescent="0.2">
      <c r="A14" s="212" t="s">
        <v>1022</v>
      </c>
      <c r="B14" s="563" t="s">
        <v>1023</v>
      </c>
      <c r="C14" s="563"/>
      <c r="D14" s="216">
        <v>2.9</v>
      </c>
      <c r="E14" s="217">
        <f>SUM(H14-(H14*Capa!$C$1))</f>
        <v>38.78</v>
      </c>
      <c r="F14" s="193">
        <f>SUM(I14-(I14*Capa!$C$1))</f>
        <v>36.840000000000003</v>
      </c>
      <c r="G14" s="7"/>
      <c r="H14" s="192">
        <v>38.78</v>
      </c>
      <c r="I14" s="193">
        <v>36.840000000000003</v>
      </c>
      <c r="J14" s="7"/>
      <c r="K14" s="7"/>
    </row>
    <row r="15" spans="1:11" s="8" customFormat="1" ht="15" customHeight="1" x14ac:dyDescent="0.2">
      <c r="A15" s="27">
        <v>10014</v>
      </c>
      <c r="B15" s="553" t="s">
        <v>603</v>
      </c>
      <c r="C15" s="553"/>
      <c r="D15" s="28">
        <v>3</v>
      </c>
      <c r="E15" s="357">
        <f>SUM(H15-(H15*Capa!$C$1))</f>
        <v>43.55</v>
      </c>
      <c r="F15" s="170">
        <f>SUM(I15-(I15*Capa!$C$1))</f>
        <v>40.42</v>
      </c>
      <c r="G15" s="7"/>
      <c r="H15" s="165">
        <v>43.55</v>
      </c>
      <c r="I15" s="170">
        <v>40.42</v>
      </c>
      <c r="J15" s="7"/>
      <c r="K15" s="7"/>
    </row>
    <row r="16" spans="1:11" s="8" customFormat="1" ht="15" customHeight="1" x14ac:dyDescent="0.2">
      <c r="A16" s="212" t="s">
        <v>1026</v>
      </c>
      <c r="B16" s="563" t="s">
        <v>1025</v>
      </c>
      <c r="C16" s="563"/>
      <c r="D16" s="216">
        <v>3</v>
      </c>
      <c r="E16" s="217">
        <f>SUM(H16-(H16*Capa!$C$1))</f>
        <v>40.14</v>
      </c>
      <c r="F16" s="193">
        <f>SUM(I16-(I16*Capa!$C$1))</f>
        <v>38.130000000000003</v>
      </c>
      <c r="G16" s="7"/>
      <c r="H16" s="192">
        <v>40.14</v>
      </c>
      <c r="I16" s="193">
        <v>38.130000000000003</v>
      </c>
      <c r="J16" s="7"/>
      <c r="K16" s="7"/>
    </row>
    <row r="17" spans="1:11" s="8" customFormat="1" ht="15" customHeight="1" x14ac:dyDescent="0.2">
      <c r="A17" s="499" t="s">
        <v>870</v>
      </c>
      <c r="B17" s="561" t="s">
        <v>871</v>
      </c>
      <c r="C17" s="561"/>
      <c r="D17" s="28">
        <v>3</v>
      </c>
      <c r="E17" s="357">
        <f>SUM(H17-(H17*Capa!$C$1))</f>
        <v>39.11</v>
      </c>
      <c r="F17" s="170">
        <f>SUM(I17-(I17*Capa!$C$1))</f>
        <v>37.15</v>
      </c>
      <c r="G17" s="7"/>
      <c r="H17" s="165">
        <v>39.11</v>
      </c>
      <c r="I17" s="170">
        <v>37.15</v>
      </c>
      <c r="J17" s="7"/>
      <c r="K17" s="7"/>
    </row>
    <row r="18" spans="1:11" s="8" customFormat="1" ht="15" customHeight="1" x14ac:dyDescent="0.2">
      <c r="A18" s="215">
        <v>10019</v>
      </c>
      <c r="B18" s="552" t="s">
        <v>604</v>
      </c>
      <c r="C18" s="552"/>
      <c r="D18" s="216">
        <v>3</v>
      </c>
      <c r="E18" s="217">
        <f>SUM(H18-(H18*Capa!$C$1))</f>
        <v>46.23</v>
      </c>
      <c r="F18" s="193">
        <f>SUM(I18-(I18*Capa!$C$1))</f>
        <v>44.03</v>
      </c>
      <c r="G18" s="7"/>
      <c r="H18" s="192">
        <v>46.23</v>
      </c>
      <c r="I18" s="193">
        <v>44.03</v>
      </c>
      <c r="J18" s="7"/>
      <c r="K18" s="7"/>
    </row>
    <row r="19" spans="1:11" s="8" customFormat="1" ht="15" customHeight="1" x14ac:dyDescent="0.2">
      <c r="A19" s="499" t="s">
        <v>872</v>
      </c>
      <c r="B19" s="561" t="s">
        <v>876</v>
      </c>
      <c r="C19" s="561"/>
      <c r="D19" s="28">
        <v>3</v>
      </c>
      <c r="E19" s="357">
        <f>SUM(H19-(H19*Capa!$C$1))</f>
        <v>34.21</v>
      </c>
      <c r="F19" s="170">
        <f>SUM(I19-(I19*Capa!$C$1))</f>
        <v>32.49</v>
      </c>
      <c r="G19" s="7"/>
      <c r="H19" s="165">
        <v>34.21</v>
      </c>
      <c r="I19" s="170">
        <v>32.49</v>
      </c>
      <c r="J19" s="7"/>
      <c r="K19" s="7"/>
    </row>
    <row r="20" spans="1:11" s="8" customFormat="1" ht="15" customHeight="1" x14ac:dyDescent="0.2">
      <c r="A20" s="212" t="s">
        <v>873</v>
      </c>
      <c r="B20" s="563" t="s">
        <v>877</v>
      </c>
      <c r="C20" s="563"/>
      <c r="D20" s="216">
        <v>3</v>
      </c>
      <c r="E20" s="217">
        <f>SUM(H20-(H20*Capa!$C$1))</f>
        <v>48.23</v>
      </c>
      <c r="F20" s="193">
        <f>SUM(I20-(I20*Capa!$C$1))</f>
        <v>45.82</v>
      </c>
      <c r="G20" s="7"/>
      <c r="H20" s="192">
        <v>48.23</v>
      </c>
      <c r="I20" s="193">
        <v>45.82</v>
      </c>
      <c r="J20" s="7"/>
      <c r="K20" s="7"/>
    </row>
    <row r="21" spans="1:11" s="8" customFormat="1" ht="15" customHeight="1" x14ac:dyDescent="0.2">
      <c r="A21" s="499" t="s">
        <v>874</v>
      </c>
      <c r="B21" s="561" t="s">
        <v>878</v>
      </c>
      <c r="C21" s="561"/>
      <c r="D21" s="28">
        <v>2.9</v>
      </c>
      <c r="E21" s="357">
        <f>SUM(H21-(H21*Capa!$C$1))</f>
        <v>38</v>
      </c>
      <c r="F21" s="170">
        <f>SUM(I21-(I21*Capa!$C$1))</f>
        <v>36.1</v>
      </c>
      <c r="G21" s="7"/>
      <c r="H21" s="165">
        <v>38</v>
      </c>
      <c r="I21" s="170">
        <v>36.1</v>
      </c>
      <c r="J21" s="7"/>
      <c r="K21" s="7"/>
    </row>
    <row r="22" spans="1:11" s="8" customFormat="1" ht="15" customHeight="1" x14ac:dyDescent="0.2">
      <c r="A22" s="212" t="s">
        <v>875</v>
      </c>
      <c r="B22" s="563" t="s">
        <v>879</v>
      </c>
      <c r="C22" s="563"/>
      <c r="D22" s="216">
        <v>2.9</v>
      </c>
      <c r="E22" s="217">
        <f>SUM(H22-(H22*Capa!$C$1))</f>
        <v>38</v>
      </c>
      <c r="F22" s="193">
        <f>SUM(I22-(I22*Capa!$C$1))</f>
        <v>36.1</v>
      </c>
      <c r="G22" s="7"/>
      <c r="H22" s="192">
        <v>38</v>
      </c>
      <c r="I22" s="193">
        <v>36.1</v>
      </c>
      <c r="J22" s="7"/>
      <c r="K22" s="7"/>
    </row>
    <row r="23" spans="1:11" s="8" customFormat="1" ht="15" customHeight="1" x14ac:dyDescent="0.2">
      <c r="A23" s="27">
        <v>10029</v>
      </c>
      <c r="B23" s="553" t="s">
        <v>605</v>
      </c>
      <c r="C23" s="553"/>
      <c r="D23" s="28">
        <v>2.9</v>
      </c>
      <c r="E23" s="357">
        <f>SUM(H23-(H23*Capa!$C$1))</f>
        <v>60.93</v>
      </c>
      <c r="F23" s="170">
        <f>SUM(I23-(I23*Capa!$C$1))</f>
        <v>57.89</v>
      </c>
      <c r="G23" s="7"/>
      <c r="H23" s="165">
        <v>60.93</v>
      </c>
      <c r="I23" s="170">
        <v>57.89</v>
      </c>
      <c r="J23" s="7"/>
      <c r="K23" s="7"/>
    </row>
    <row r="24" spans="1:11" s="8" customFormat="1" ht="15" customHeight="1" x14ac:dyDescent="0.2">
      <c r="A24" s="215">
        <v>10030</v>
      </c>
      <c r="B24" s="552" t="s">
        <v>355</v>
      </c>
      <c r="C24" s="552"/>
      <c r="D24" s="216">
        <v>2.9</v>
      </c>
      <c r="E24" s="217">
        <f>SUM(H24-(H24*Capa!$C$1))</f>
        <v>50.07</v>
      </c>
      <c r="F24" s="193">
        <f>SUM(I24-(I24*Capa!$C$1))</f>
        <v>47.68</v>
      </c>
      <c r="G24" s="7"/>
      <c r="H24" s="192">
        <v>50.07</v>
      </c>
      <c r="I24" s="193">
        <v>47.68</v>
      </c>
      <c r="J24" s="7"/>
      <c r="K24" s="7"/>
    </row>
    <row r="25" spans="1:11" s="8" customFormat="1" ht="15" customHeight="1" x14ac:dyDescent="0.2">
      <c r="A25" s="27">
        <v>10032</v>
      </c>
      <c r="B25" s="553" t="s">
        <v>356</v>
      </c>
      <c r="C25" s="553"/>
      <c r="D25" s="28">
        <v>3</v>
      </c>
      <c r="E25" s="357">
        <f>SUM(H25-(H25*Capa!$C$1))</f>
        <v>42.9</v>
      </c>
      <c r="F25" s="170">
        <f>SUM(I25-(I25*Capa!$C$1))</f>
        <v>40.75</v>
      </c>
      <c r="G25" s="7"/>
      <c r="H25" s="165">
        <v>42.9</v>
      </c>
      <c r="I25" s="170">
        <v>40.75</v>
      </c>
      <c r="J25" s="7"/>
      <c r="K25" s="7"/>
    </row>
    <row r="26" spans="1:11" s="8" customFormat="1" ht="15" customHeight="1" x14ac:dyDescent="0.2">
      <c r="A26" s="215">
        <v>10033</v>
      </c>
      <c r="B26" s="552" t="s">
        <v>606</v>
      </c>
      <c r="C26" s="552"/>
      <c r="D26" s="216">
        <v>3</v>
      </c>
      <c r="E26" s="217">
        <f>SUM(H26-(H26*Capa!$C$1))</f>
        <v>32.880000000000003</v>
      </c>
      <c r="F26" s="193">
        <f>SUM(I26-(I26*Capa!$C$1))</f>
        <v>31.24</v>
      </c>
      <c r="G26" s="7"/>
      <c r="H26" s="192">
        <v>32.880000000000003</v>
      </c>
      <c r="I26" s="193">
        <v>31.24</v>
      </c>
      <c r="J26" s="7"/>
      <c r="K26" s="7"/>
    </row>
    <row r="27" spans="1:11" s="8" customFormat="1" ht="15" customHeight="1" x14ac:dyDescent="0.2">
      <c r="A27" s="27">
        <v>10034</v>
      </c>
      <c r="B27" s="553" t="s">
        <v>607</v>
      </c>
      <c r="C27" s="553"/>
      <c r="D27" s="28">
        <v>3</v>
      </c>
      <c r="E27" s="357">
        <f>SUM(H27-(H27*Capa!$C$1))</f>
        <v>30.18</v>
      </c>
      <c r="F27" s="170">
        <f>SUM(I27-(I27*Capa!$C$1))</f>
        <v>28.57</v>
      </c>
      <c r="G27" s="7"/>
      <c r="H27" s="165">
        <v>30.18</v>
      </c>
      <c r="I27" s="170">
        <v>28.57</v>
      </c>
      <c r="J27" s="7"/>
      <c r="K27" s="7"/>
    </row>
    <row r="28" spans="1:11" s="8" customFormat="1" ht="15" customHeight="1" x14ac:dyDescent="0.2">
      <c r="A28" s="215">
        <v>10036</v>
      </c>
      <c r="B28" s="552" t="s">
        <v>608</v>
      </c>
      <c r="C28" s="552"/>
      <c r="D28" s="216">
        <v>2.8</v>
      </c>
      <c r="E28" s="217">
        <f>SUM(H28-(H28*Capa!$C$1))</f>
        <v>50.22</v>
      </c>
      <c r="F28" s="193">
        <f>SUM(I28-(I28*Capa!$C$1))</f>
        <v>47.71</v>
      </c>
      <c r="G28" s="7"/>
      <c r="H28" s="192">
        <v>50.22</v>
      </c>
      <c r="I28" s="193">
        <v>47.71</v>
      </c>
      <c r="J28" s="7"/>
      <c r="K28" s="7"/>
    </row>
    <row r="29" spans="1:11" s="8" customFormat="1" ht="15" customHeight="1" x14ac:dyDescent="0.2">
      <c r="A29" s="27">
        <v>10037</v>
      </c>
      <c r="B29" s="553" t="s">
        <v>358</v>
      </c>
      <c r="C29" s="553"/>
      <c r="D29" s="28">
        <v>2.9</v>
      </c>
      <c r="E29" s="357">
        <f>SUM(H29-(H29*Capa!$C$1))</f>
        <v>54.27</v>
      </c>
      <c r="F29" s="170">
        <f>SUM(I29-(I29*Capa!$C$1))</f>
        <v>51.56</v>
      </c>
      <c r="G29" s="7"/>
      <c r="H29" s="165">
        <v>54.27</v>
      </c>
      <c r="I29" s="170">
        <v>51.56</v>
      </c>
      <c r="J29" s="7"/>
      <c r="K29" s="7"/>
    </row>
    <row r="30" spans="1:11" s="8" customFormat="1" ht="14.1" customHeight="1" x14ac:dyDescent="0.2">
      <c r="A30" s="215">
        <v>10040</v>
      </c>
      <c r="B30" s="555" t="s">
        <v>1038</v>
      </c>
      <c r="C30" s="555"/>
      <c r="D30" s="216">
        <v>3</v>
      </c>
      <c r="E30" s="217">
        <f>SUM(H30-(H30*Capa!$C$1))</f>
        <v>15.8</v>
      </c>
      <c r="F30" s="193">
        <f>SUM(I30-(I30*Capa!$C$1))</f>
        <v>15.01</v>
      </c>
      <c r="G30" s="7"/>
      <c r="H30" s="517">
        <v>15.8</v>
      </c>
      <c r="I30" s="518">
        <v>15.01</v>
      </c>
      <c r="J30" s="7"/>
      <c r="K30" s="7"/>
    </row>
    <row r="31" spans="1:11" s="161" customFormat="1" ht="14.1" customHeight="1" x14ac:dyDescent="0.2">
      <c r="A31" s="27">
        <v>10041</v>
      </c>
      <c r="B31" s="556" t="s">
        <v>1039</v>
      </c>
      <c r="C31" s="556"/>
      <c r="D31" s="28">
        <v>3</v>
      </c>
      <c r="E31" s="357">
        <f>SUM(H31-(H31*Capa!$C$1))</f>
        <v>17.350000000000001</v>
      </c>
      <c r="F31" s="170">
        <f>SUM(I31-(I31*Capa!$C$1))</f>
        <v>16.48</v>
      </c>
      <c r="G31" s="162"/>
      <c r="H31" s="516">
        <v>17.350000000000001</v>
      </c>
      <c r="I31" s="519">
        <v>16.48</v>
      </c>
      <c r="J31" s="162"/>
      <c r="K31" s="162"/>
    </row>
    <row r="32" spans="1:11" s="8" customFormat="1" ht="15" customHeight="1" x14ac:dyDescent="0.2">
      <c r="A32" s="215">
        <v>10042</v>
      </c>
      <c r="B32" s="555" t="s">
        <v>609</v>
      </c>
      <c r="C32" s="555"/>
      <c r="D32" s="216">
        <v>3</v>
      </c>
      <c r="E32" s="217">
        <f>SUM(H32-(H32*Capa!$C$1))</f>
        <v>31.85</v>
      </c>
      <c r="F32" s="193">
        <f>SUM(I32-(I32*Capa!$C$1))</f>
        <v>30.26</v>
      </c>
      <c r="G32" s="7"/>
      <c r="H32" s="192">
        <v>31.85</v>
      </c>
      <c r="I32" s="193">
        <v>30.26</v>
      </c>
      <c r="J32" s="7"/>
      <c r="K32" s="7"/>
    </row>
    <row r="33" spans="1:11" s="8" customFormat="1" ht="15" customHeight="1" x14ac:dyDescent="0.2">
      <c r="A33" s="499" t="s">
        <v>865</v>
      </c>
      <c r="B33" s="561" t="s">
        <v>868</v>
      </c>
      <c r="C33" s="561"/>
      <c r="D33" s="28">
        <v>3</v>
      </c>
      <c r="E33" s="357">
        <f>SUM(H33-(H33*Capa!$C$1))</f>
        <v>55</v>
      </c>
      <c r="F33" s="170">
        <f>SUM(I33-(I33*Capa!$C$1))</f>
        <v>52.25</v>
      </c>
      <c r="G33" s="7"/>
      <c r="H33" s="165">
        <v>55</v>
      </c>
      <c r="I33" s="170">
        <v>52.25</v>
      </c>
      <c r="J33" s="7"/>
      <c r="K33" s="7"/>
    </row>
    <row r="34" spans="1:11" ht="15" customHeight="1" x14ac:dyDescent="0.2">
      <c r="A34" s="215">
        <v>10044</v>
      </c>
      <c r="B34" s="552" t="s">
        <v>862</v>
      </c>
      <c r="C34" s="552"/>
      <c r="D34" s="216">
        <v>3</v>
      </c>
      <c r="E34" s="217">
        <f>SUM(H34-(H34*Capa!$C$1))</f>
        <v>36.69</v>
      </c>
      <c r="F34" s="193">
        <f>SUM(I34-(I34*Capa!$C$1))</f>
        <v>34.94</v>
      </c>
      <c r="G34" s="7"/>
      <c r="H34" s="192">
        <v>36.69</v>
      </c>
      <c r="I34" s="193">
        <v>34.94</v>
      </c>
      <c r="J34" s="4"/>
      <c r="K34" s="4"/>
    </row>
    <row r="35" spans="1:11" ht="15" customHeight="1" x14ac:dyDescent="0.2">
      <c r="A35" s="27">
        <v>10045</v>
      </c>
      <c r="B35" s="553" t="s">
        <v>863</v>
      </c>
      <c r="C35" s="553"/>
      <c r="D35" s="28">
        <v>3</v>
      </c>
      <c r="E35" s="357">
        <f>SUM(H35-(H35*Capa!$C$1))</f>
        <v>36.69</v>
      </c>
      <c r="F35" s="170">
        <f>SUM(I35-(I35*Capa!$C$1))</f>
        <v>34.94</v>
      </c>
      <c r="G35" s="7"/>
      <c r="H35" s="165">
        <v>36.69</v>
      </c>
      <c r="I35" s="170">
        <v>34.94</v>
      </c>
      <c r="J35" s="4"/>
      <c r="K35" s="4"/>
    </row>
    <row r="36" spans="1:11" ht="15" customHeight="1" x14ac:dyDescent="0.2">
      <c r="A36" s="215">
        <v>10046</v>
      </c>
      <c r="B36" s="552" t="s">
        <v>1124</v>
      </c>
      <c r="C36" s="552"/>
      <c r="D36" s="216">
        <v>3</v>
      </c>
      <c r="E36" s="217">
        <f>SUM(H36-(H36*Capa!$C$1))</f>
        <v>36.69</v>
      </c>
      <c r="F36" s="193">
        <f>SUM(I36-(I36*Capa!$C$1))</f>
        <v>34.94</v>
      </c>
      <c r="G36" s="7"/>
      <c r="H36" s="192">
        <v>36.69</v>
      </c>
      <c r="I36" s="193">
        <v>34.94</v>
      </c>
      <c r="J36" s="4"/>
      <c r="K36" s="4"/>
    </row>
    <row r="37" spans="1:11" ht="15" customHeight="1" x14ac:dyDescent="0.2">
      <c r="A37" s="27">
        <v>10047</v>
      </c>
      <c r="B37" s="553" t="s">
        <v>864</v>
      </c>
      <c r="C37" s="553"/>
      <c r="D37" s="28">
        <v>3</v>
      </c>
      <c r="E37" s="357">
        <f>SUM(H37-(H37*Capa!$C$1))</f>
        <v>41.04</v>
      </c>
      <c r="F37" s="170">
        <f>SUM(I37-(I37*Capa!$C$1))</f>
        <v>39.090000000000003</v>
      </c>
      <c r="G37" s="7"/>
      <c r="H37" s="165">
        <v>41.04</v>
      </c>
      <c r="I37" s="170">
        <v>39.090000000000003</v>
      </c>
      <c r="J37" s="4"/>
      <c r="K37" s="4"/>
    </row>
    <row r="38" spans="1:11" ht="15" customHeight="1" x14ac:dyDescent="0.2">
      <c r="A38" s="215">
        <v>10048</v>
      </c>
      <c r="B38" s="552" t="s">
        <v>357</v>
      </c>
      <c r="C38" s="552"/>
      <c r="D38" s="216">
        <v>3</v>
      </c>
      <c r="E38" s="217">
        <f>SUM(H38-(H38*Capa!$C$1))</f>
        <v>50.74</v>
      </c>
      <c r="F38" s="193">
        <f>SUM(I38-(I38*Capa!$C$1))</f>
        <v>48.2</v>
      </c>
      <c r="G38" s="7"/>
      <c r="H38" s="192">
        <v>50.74</v>
      </c>
      <c r="I38" s="193">
        <v>48.2</v>
      </c>
      <c r="J38" s="4"/>
      <c r="K38" s="4"/>
    </row>
    <row r="39" spans="1:11" ht="15" customHeight="1" x14ac:dyDescent="0.2">
      <c r="A39" s="27">
        <v>10049</v>
      </c>
      <c r="B39" s="553" t="s">
        <v>869</v>
      </c>
      <c r="C39" s="553"/>
      <c r="D39" s="28">
        <v>3</v>
      </c>
      <c r="E39" s="357">
        <f>SUM(H39-(H39*Capa!$C$1))</f>
        <v>43.21</v>
      </c>
      <c r="F39" s="170">
        <f>SUM(I39-(I39*Capa!$C$1))</f>
        <v>41.16</v>
      </c>
      <c r="G39" s="7"/>
      <c r="H39" s="165">
        <v>43.21</v>
      </c>
      <c r="I39" s="170">
        <v>41.16</v>
      </c>
      <c r="J39" s="4"/>
      <c r="K39" s="4"/>
    </row>
    <row r="40" spans="1:11" ht="15" customHeight="1" thickBot="1" x14ac:dyDescent="0.25">
      <c r="A40" s="220">
        <v>10050</v>
      </c>
      <c r="B40" s="564" t="s">
        <v>1027</v>
      </c>
      <c r="C40" s="564"/>
      <c r="D40" s="221">
        <v>3</v>
      </c>
      <c r="E40" s="222">
        <f>SUM(H40-(H40*Capa!$C$1))</f>
        <v>30.34</v>
      </c>
      <c r="F40" s="219">
        <f>SUM(I40-(I40*Capa!$C$1))</f>
        <v>28.9</v>
      </c>
      <c r="G40" s="7"/>
      <c r="H40" s="218">
        <v>30.34</v>
      </c>
      <c r="I40" s="219">
        <v>28.9</v>
      </c>
      <c r="J40" s="4"/>
      <c r="K40" s="4"/>
    </row>
    <row r="41" spans="1:11" x14ac:dyDescent="0.2">
      <c r="A41" s="4"/>
      <c r="B41" s="4"/>
      <c r="C41" s="4"/>
      <c r="D41" s="4"/>
      <c r="E41" s="4"/>
      <c r="F41" s="4"/>
      <c r="G41" s="4"/>
      <c r="H41" s="49"/>
      <c r="I41" s="49"/>
      <c r="J41" s="4"/>
      <c r="K41" s="4"/>
    </row>
    <row r="42" spans="1:11" x14ac:dyDescent="0.2">
      <c r="A42" s="4"/>
      <c r="B42" s="4"/>
      <c r="C42" s="4"/>
      <c r="D42" s="4"/>
      <c r="E42" s="4"/>
      <c r="F42" s="4"/>
      <c r="G42" s="4"/>
      <c r="H42" s="49"/>
      <c r="I42" s="49"/>
      <c r="J42" s="4"/>
      <c r="K42" s="4"/>
    </row>
    <row r="43" spans="1:11" x14ac:dyDescent="0.2">
      <c r="A43" s="4"/>
      <c r="B43" s="4"/>
      <c r="C43" s="4"/>
      <c r="D43" s="4"/>
      <c r="E43" s="4"/>
      <c r="F43" s="4"/>
      <c r="G43" s="4"/>
      <c r="H43" s="49"/>
      <c r="I43" s="49"/>
      <c r="J43" s="4"/>
      <c r="K43" s="4"/>
    </row>
    <row r="44" spans="1:11" x14ac:dyDescent="0.2">
      <c r="A44" s="4"/>
      <c r="B44" s="4"/>
      <c r="C44" s="4"/>
      <c r="D44" s="4"/>
      <c r="E44" s="4"/>
      <c r="F44" s="4"/>
      <c r="G44" s="4"/>
      <c r="H44" s="49"/>
      <c r="I44" s="49"/>
      <c r="J44" s="4"/>
      <c r="K44" s="4"/>
    </row>
    <row r="45" spans="1:11" x14ac:dyDescent="0.2">
      <c r="A45" s="4"/>
      <c r="B45" s="4"/>
      <c r="C45" s="4"/>
      <c r="D45" s="4"/>
      <c r="E45" s="4"/>
      <c r="F45" s="4"/>
      <c r="G45" s="4"/>
      <c r="H45" s="49"/>
      <c r="I45" s="49"/>
      <c r="J45" s="4"/>
      <c r="K45" s="4"/>
    </row>
    <row r="46" spans="1:11" x14ac:dyDescent="0.2">
      <c r="A46" s="4"/>
      <c r="B46" s="4"/>
      <c r="C46" s="4"/>
      <c r="D46" s="4"/>
      <c r="E46" s="4"/>
      <c r="F46" s="4"/>
      <c r="G46" s="4"/>
      <c r="H46" s="49"/>
      <c r="I46" s="49"/>
      <c r="J46" s="4"/>
      <c r="K46" s="4"/>
    </row>
    <row r="47" spans="1:11" x14ac:dyDescent="0.2">
      <c r="A47" s="4"/>
      <c r="B47" s="4"/>
      <c r="C47" s="4"/>
      <c r="D47" s="4"/>
      <c r="E47" s="4"/>
      <c r="F47" s="4"/>
      <c r="G47" s="4"/>
      <c r="H47" s="49"/>
      <c r="I47" s="49"/>
      <c r="J47" s="4"/>
      <c r="K47" s="4"/>
    </row>
    <row r="48" spans="1:11" x14ac:dyDescent="0.2">
      <c r="A48" s="4"/>
      <c r="B48" s="4"/>
      <c r="C48" s="4"/>
      <c r="D48" s="4"/>
      <c r="E48" s="4"/>
      <c r="F48" s="4"/>
      <c r="G48" s="4"/>
      <c r="H48" s="49"/>
      <c r="I48" s="49"/>
    </row>
    <row r="49" spans="1:9" x14ac:dyDescent="0.2">
      <c r="A49" s="4"/>
      <c r="B49" s="4"/>
      <c r="C49" s="4"/>
      <c r="D49" s="4"/>
      <c r="E49" s="4"/>
      <c r="F49" s="4"/>
      <c r="G49" s="4"/>
      <c r="H49" s="49"/>
      <c r="I49" s="49"/>
    </row>
    <row r="50" spans="1:9" x14ac:dyDescent="0.2">
      <c r="A50" s="4"/>
      <c r="B50" s="4"/>
      <c r="C50" s="4"/>
      <c r="D50" s="4"/>
      <c r="E50" s="4"/>
      <c r="F50" s="4"/>
      <c r="G50" s="4"/>
      <c r="H50" s="49"/>
      <c r="I50" s="49"/>
    </row>
    <row r="51" spans="1:9" x14ac:dyDescent="0.2">
      <c r="A51" s="4"/>
      <c r="B51" s="4"/>
      <c r="C51" s="4"/>
      <c r="D51" s="4"/>
      <c r="E51" s="4"/>
      <c r="F51" s="4"/>
      <c r="G51" s="4"/>
      <c r="H51" s="49"/>
      <c r="I51" s="49"/>
    </row>
  </sheetData>
  <sheetProtection sheet="1" objects="1" scenarios="1"/>
  <mergeCells count="40">
    <mergeCell ref="B39:C39"/>
    <mergeCell ref="B40:C40"/>
    <mergeCell ref="B34:C34"/>
    <mergeCell ref="B35:C35"/>
    <mergeCell ref="B36:C36"/>
    <mergeCell ref="B37:C37"/>
    <mergeCell ref="B38:C38"/>
    <mergeCell ref="B33:C33"/>
    <mergeCell ref="B32:C32"/>
    <mergeCell ref="B29:C29"/>
    <mergeCell ref="B21:C21"/>
    <mergeCell ref="B22:C22"/>
    <mergeCell ref="B23:C23"/>
    <mergeCell ref="B24:C24"/>
    <mergeCell ref="B25:C25"/>
    <mergeCell ref="B26:C26"/>
    <mergeCell ref="B27:C27"/>
    <mergeCell ref="B28:C28"/>
    <mergeCell ref="B31:C31"/>
    <mergeCell ref="B30:C30"/>
    <mergeCell ref="B20:C20"/>
    <mergeCell ref="B15:C15"/>
    <mergeCell ref="B16:C16"/>
    <mergeCell ref="B17:C17"/>
    <mergeCell ref="B18:C18"/>
    <mergeCell ref="B19:C19"/>
    <mergeCell ref="A1:F1"/>
    <mergeCell ref="B3:C3"/>
    <mergeCell ref="B2:C2"/>
    <mergeCell ref="B14:C14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rintOptions horizontalCentered="1"/>
  <pageMargins left="0.23622047244094491" right="0.23622047244094491" top="0.39370078740157483" bottom="0.19685039370078741" header="0.19685039370078741" footer="0"/>
  <pageSetup paperSize="9" fitToWidth="0" fitToHeight="0" orientation="portrait" r:id="rId1"/>
  <headerFooter>
    <oddFooter>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BA1B-36EB-4F5E-B983-48E4CD41E152}">
  <dimension ref="A1:K41"/>
  <sheetViews>
    <sheetView showGridLines="0" showWhiteSpace="0" view="pageLayout" zoomScaleNormal="100" workbookViewId="0">
      <selection sqref="A1:F1"/>
    </sheetView>
  </sheetViews>
  <sheetFormatPr defaultRowHeight="12.75" x14ac:dyDescent="0.2"/>
  <cols>
    <col min="1" max="1" width="10.7109375" customWidth="1"/>
    <col min="2" max="2" width="45.7109375" customWidth="1"/>
    <col min="3" max="6" width="10.7109375" customWidth="1"/>
    <col min="8" max="9" width="12.7109375" style="22" hidden="1" customWidth="1"/>
  </cols>
  <sheetData>
    <row r="1" spans="1:11" ht="39.950000000000003" customHeight="1" thickBot="1" x14ac:dyDescent="0.25">
      <c r="A1" s="558" t="s">
        <v>730</v>
      </c>
      <c r="B1" s="559"/>
      <c r="C1" s="559"/>
      <c r="D1" s="559"/>
      <c r="E1" s="559"/>
      <c r="F1" s="560"/>
      <c r="G1" s="4"/>
      <c r="H1" s="49"/>
      <c r="I1" s="49"/>
    </row>
    <row r="2" spans="1:11" ht="15" customHeight="1" x14ac:dyDescent="0.2">
      <c r="A2" s="212" t="s">
        <v>132</v>
      </c>
      <c r="B2" s="562" t="s">
        <v>114</v>
      </c>
      <c r="C2" s="562"/>
      <c r="D2" s="213" t="s">
        <v>131</v>
      </c>
      <c r="E2" s="213" t="s">
        <v>345</v>
      </c>
      <c r="F2" s="214" t="s">
        <v>98</v>
      </c>
      <c r="G2" s="4"/>
      <c r="H2" s="25" t="s">
        <v>345</v>
      </c>
      <c r="I2" s="26" t="s">
        <v>98</v>
      </c>
    </row>
    <row r="3" spans="1:11" s="8" customFormat="1" ht="15" customHeight="1" x14ac:dyDescent="0.2">
      <c r="A3" s="27">
        <v>12000</v>
      </c>
      <c r="B3" s="553" t="s">
        <v>881</v>
      </c>
      <c r="C3" s="553"/>
      <c r="D3" s="28">
        <v>3</v>
      </c>
      <c r="E3" s="357">
        <f>'Book 14'!E8</f>
        <v>22.45</v>
      </c>
      <c r="F3" s="170">
        <f>'Book 14'!F8</f>
        <v>21.33</v>
      </c>
      <c r="G3" s="7"/>
      <c r="H3" s="567" t="s">
        <v>139</v>
      </c>
      <c r="I3" s="568"/>
    </row>
    <row r="4" spans="1:11" s="8" customFormat="1" ht="15" customHeight="1" x14ac:dyDescent="0.2">
      <c r="A4" s="215">
        <v>12001</v>
      </c>
      <c r="B4" s="552" t="s">
        <v>882</v>
      </c>
      <c r="C4" s="552"/>
      <c r="D4" s="216">
        <v>3</v>
      </c>
      <c r="E4" s="217">
        <f>'Book 14'!E9</f>
        <v>18.2</v>
      </c>
      <c r="F4" s="193">
        <f>'Book 14'!F9</f>
        <v>17.29</v>
      </c>
      <c r="G4" s="7"/>
      <c r="H4" s="565" t="s">
        <v>139</v>
      </c>
      <c r="I4" s="566"/>
    </row>
    <row r="5" spans="1:11" s="8" customFormat="1" ht="15" customHeight="1" x14ac:dyDescent="0.2">
      <c r="A5" s="27">
        <v>12003</v>
      </c>
      <c r="B5" s="553" t="s">
        <v>883</v>
      </c>
      <c r="C5" s="553"/>
      <c r="D5" s="28">
        <v>3</v>
      </c>
      <c r="E5" s="357">
        <f>SUM(H5-(H5*Capa!$C$1))</f>
        <v>19.39</v>
      </c>
      <c r="F5" s="170">
        <f>SUM(I5-(I5*Capa!$C$1))</f>
        <v>18.420000000000002</v>
      </c>
      <c r="G5" s="7"/>
      <c r="H5" s="165">
        <v>19.39</v>
      </c>
      <c r="I5" s="170">
        <v>18.420000000000002</v>
      </c>
    </row>
    <row r="6" spans="1:11" s="8" customFormat="1" ht="15" customHeight="1" x14ac:dyDescent="0.2">
      <c r="A6" s="215">
        <v>12004</v>
      </c>
      <c r="B6" s="552" t="s">
        <v>884</v>
      </c>
      <c r="C6" s="552"/>
      <c r="D6" s="216">
        <v>3</v>
      </c>
      <c r="E6" s="217">
        <f>SUM(H6-(H6*Capa!$C$1))</f>
        <v>40.950000000000003</v>
      </c>
      <c r="F6" s="193">
        <f>SUM(I6-(I6*Capa!$C$1))</f>
        <v>38.9</v>
      </c>
      <c r="G6" s="7"/>
      <c r="H6" s="192">
        <v>40.950000000000003</v>
      </c>
      <c r="I6" s="193">
        <v>38.9</v>
      </c>
    </row>
    <row r="7" spans="1:11" s="8" customFormat="1" ht="15" customHeight="1" x14ac:dyDescent="0.2">
      <c r="A7" s="27">
        <v>12005</v>
      </c>
      <c r="B7" s="553" t="s">
        <v>731</v>
      </c>
      <c r="C7" s="553"/>
      <c r="D7" s="28">
        <v>2.8</v>
      </c>
      <c r="E7" s="357">
        <f>SUM(H7-(H7*Capa!$C$1))</f>
        <v>50.06</v>
      </c>
      <c r="F7" s="170">
        <f>SUM(I7-(I7*Capa!$C$1))</f>
        <v>47.67</v>
      </c>
      <c r="G7" s="7"/>
      <c r="H7" s="165">
        <v>50.06</v>
      </c>
      <c r="I7" s="170">
        <v>47.67</v>
      </c>
    </row>
    <row r="8" spans="1:11" s="8" customFormat="1" ht="15" customHeight="1" x14ac:dyDescent="0.2">
      <c r="A8" s="215">
        <v>12006</v>
      </c>
      <c r="B8" s="552" t="s">
        <v>732</v>
      </c>
      <c r="C8" s="552"/>
      <c r="D8" s="216">
        <v>2.8</v>
      </c>
      <c r="E8" s="217">
        <f>SUM(H8-(H8*Capa!$C$1))</f>
        <v>50.06</v>
      </c>
      <c r="F8" s="193">
        <f>SUM(I8-(I8*Capa!$C$1))</f>
        <v>47.67</v>
      </c>
      <c r="G8" s="7"/>
      <c r="H8" s="192">
        <v>50.06</v>
      </c>
      <c r="I8" s="193">
        <v>47.67</v>
      </c>
      <c r="K8" s="9"/>
    </row>
    <row r="9" spans="1:11" s="8" customFormat="1" ht="15" customHeight="1" x14ac:dyDescent="0.2">
      <c r="A9" s="27">
        <v>12007</v>
      </c>
      <c r="B9" s="553" t="s">
        <v>733</v>
      </c>
      <c r="C9" s="553"/>
      <c r="D9" s="28">
        <v>2.8</v>
      </c>
      <c r="E9" s="357">
        <f>SUM(H9-(H9*Capa!$C$1))</f>
        <v>50.06</v>
      </c>
      <c r="F9" s="170">
        <f>SUM(I9-(I9*Capa!$C$1))</f>
        <v>47.67</v>
      </c>
      <c r="G9" s="7"/>
      <c r="H9" s="165">
        <v>50.06</v>
      </c>
      <c r="I9" s="170">
        <v>47.67</v>
      </c>
    </row>
    <row r="10" spans="1:11" s="8" customFormat="1" ht="15" customHeight="1" x14ac:dyDescent="0.2">
      <c r="A10" s="215">
        <v>12008</v>
      </c>
      <c r="B10" s="552" t="s">
        <v>734</v>
      </c>
      <c r="C10" s="552"/>
      <c r="D10" s="216">
        <v>2.8</v>
      </c>
      <c r="E10" s="217">
        <f>SUM(H10-(H10*Capa!$C$1))</f>
        <v>50.06</v>
      </c>
      <c r="F10" s="193">
        <f>SUM(I10-(I10*Capa!$C$1))</f>
        <v>47.67</v>
      </c>
      <c r="G10" s="7"/>
      <c r="H10" s="192">
        <v>50.06</v>
      </c>
      <c r="I10" s="193">
        <v>47.67</v>
      </c>
    </row>
    <row r="11" spans="1:11" s="8" customFormat="1" ht="15" customHeight="1" x14ac:dyDescent="0.2">
      <c r="A11" s="27">
        <v>12009</v>
      </c>
      <c r="B11" s="553" t="s">
        <v>735</v>
      </c>
      <c r="C11" s="553"/>
      <c r="D11" s="28">
        <v>2.8</v>
      </c>
      <c r="E11" s="357">
        <f>SUM(H11-(H11*Capa!$C$1))</f>
        <v>50.06</v>
      </c>
      <c r="F11" s="170">
        <f>SUM(I11-(I11*Capa!$C$1))</f>
        <v>47.67</v>
      </c>
      <c r="G11" s="7"/>
      <c r="H11" s="165">
        <v>50.06</v>
      </c>
      <c r="I11" s="170">
        <v>47.67</v>
      </c>
    </row>
    <row r="12" spans="1:11" s="8" customFormat="1" ht="15" customHeight="1" x14ac:dyDescent="0.2">
      <c r="A12" s="215">
        <v>12010</v>
      </c>
      <c r="B12" s="552" t="s">
        <v>880</v>
      </c>
      <c r="C12" s="552"/>
      <c r="D12" s="216">
        <v>2.9</v>
      </c>
      <c r="E12" s="217">
        <f>SUM(H12-(H12*Capa!$C$1))</f>
        <v>39.49</v>
      </c>
      <c r="F12" s="193">
        <f>SUM(I12-(I12*Capa!$C$1))</f>
        <v>37.51</v>
      </c>
      <c r="G12" s="7"/>
      <c r="H12" s="192">
        <v>39.49</v>
      </c>
      <c r="I12" s="193">
        <v>37.51</v>
      </c>
    </row>
    <row r="13" spans="1:11" s="8" customFormat="1" ht="15" customHeight="1" x14ac:dyDescent="0.2">
      <c r="A13" s="27">
        <v>12011</v>
      </c>
      <c r="B13" s="553" t="s">
        <v>557</v>
      </c>
      <c r="C13" s="553"/>
      <c r="D13" s="28">
        <v>3</v>
      </c>
      <c r="E13" s="357">
        <f>SUM(H13-(H13*Capa!$C$1))</f>
        <v>27.2</v>
      </c>
      <c r="F13" s="170">
        <f>SUM(I13-(I13*Capa!$C$1))</f>
        <v>25.84</v>
      </c>
      <c r="G13" s="7"/>
      <c r="H13" s="165">
        <v>27.2</v>
      </c>
      <c r="I13" s="170">
        <v>25.84</v>
      </c>
    </row>
    <row r="14" spans="1:11" s="8" customFormat="1" ht="15" customHeight="1" x14ac:dyDescent="0.2">
      <c r="A14" s="215">
        <v>12012</v>
      </c>
      <c r="B14" s="552" t="s">
        <v>886</v>
      </c>
      <c r="C14" s="552"/>
      <c r="D14" s="216">
        <v>3</v>
      </c>
      <c r="E14" s="217">
        <f>SUM(H14-(H14*Capa!$C$1))</f>
        <v>26.16</v>
      </c>
      <c r="F14" s="193">
        <f>SUM(I14-(I14*Capa!$C$1))</f>
        <v>24.85</v>
      </c>
      <c r="G14" s="7"/>
      <c r="H14" s="192">
        <v>26.16</v>
      </c>
      <c r="I14" s="193">
        <v>24.85</v>
      </c>
    </row>
    <row r="15" spans="1:11" s="8" customFormat="1" ht="15" customHeight="1" x14ac:dyDescent="0.2">
      <c r="A15" s="27">
        <v>12014</v>
      </c>
      <c r="B15" s="553" t="s">
        <v>885</v>
      </c>
      <c r="C15" s="553"/>
      <c r="D15" s="28">
        <v>3</v>
      </c>
      <c r="E15" s="357">
        <f>SUM(H15-(H15*Capa!$C$1))</f>
        <v>32.28</v>
      </c>
      <c r="F15" s="170">
        <f>SUM(I15-(I15*Capa!$C$1))</f>
        <v>30.67</v>
      </c>
      <c r="G15" s="7"/>
      <c r="H15" s="165">
        <v>32.28</v>
      </c>
      <c r="I15" s="170">
        <v>30.67</v>
      </c>
    </row>
    <row r="16" spans="1:11" s="8" customFormat="1" ht="15" customHeight="1" x14ac:dyDescent="0.2">
      <c r="A16" s="215">
        <v>12016</v>
      </c>
      <c r="B16" s="552" t="s">
        <v>888</v>
      </c>
      <c r="C16" s="552"/>
      <c r="D16" s="216">
        <v>2.8</v>
      </c>
      <c r="E16" s="217">
        <f>'Book 14'!E10</f>
        <v>27.4</v>
      </c>
      <c r="F16" s="193">
        <f>'Book 14'!F10</f>
        <v>26.03</v>
      </c>
      <c r="G16" s="7"/>
      <c r="H16" s="565" t="s">
        <v>139</v>
      </c>
      <c r="I16" s="566"/>
    </row>
    <row r="17" spans="1:9" s="8" customFormat="1" ht="15" customHeight="1" x14ac:dyDescent="0.2">
      <c r="A17" s="499" t="s">
        <v>908</v>
      </c>
      <c r="B17" s="561" t="s">
        <v>909</v>
      </c>
      <c r="C17" s="561"/>
      <c r="D17" s="28">
        <v>3</v>
      </c>
      <c r="E17" s="357">
        <f>SUM(H17-(H17*Capa!$C$1))</f>
        <v>40.35</v>
      </c>
      <c r="F17" s="170">
        <f>SUM(I17-(I17*Capa!$C$1))</f>
        <v>38.33</v>
      </c>
      <c r="G17" s="7"/>
      <c r="H17" s="165">
        <v>40.35</v>
      </c>
      <c r="I17" s="170">
        <v>38.33</v>
      </c>
    </row>
    <row r="18" spans="1:9" s="8" customFormat="1" ht="15" customHeight="1" x14ac:dyDescent="0.2">
      <c r="A18" s="215">
        <v>12018</v>
      </c>
      <c r="B18" s="552" t="s">
        <v>887</v>
      </c>
      <c r="C18" s="552"/>
      <c r="D18" s="216">
        <v>3</v>
      </c>
      <c r="E18" s="217">
        <f>SUM(H18-(H18*Capa!$C$1))</f>
        <v>41.16</v>
      </c>
      <c r="F18" s="193">
        <f>SUM(I18-(I18*Capa!$C$1))</f>
        <v>39.1</v>
      </c>
      <c r="G18" s="7"/>
      <c r="H18" s="192">
        <v>41.16</v>
      </c>
      <c r="I18" s="193">
        <v>39.1</v>
      </c>
    </row>
    <row r="19" spans="1:9" s="8" customFormat="1" ht="15" customHeight="1" x14ac:dyDescent="0.2">
      <c r="A19" s="499" t="s">
        <v>906</v>
      </c>
      <c r="B19" s="561" t="s">
        <v>907</v>
      </c>
      <c r="C19" s="561"/>
      <c r="D19" s="28">
        <v>3</v>
      </c>
      <c r="E19" s="357">
        <f>SUM(H19-(H19*Capa!$C$1))</f>
        <v>33.93</v>
      </c>
      <c r="F19" s="170">
        <f>SUM(I19-(I19*Capa!$C$1))</f>
        <v>32.229999999999997</v>
      </c>
      <c r="G19" s="7"/>
      <c r="H19" s="165">
        <v>33.93</v>
      </c>
      <c r="I19" s="170">
        <v>32.229999999999997</v>
      </c>
    </row>
    <row r="20" spans="1:9" s="8" customFormat="1" ht="15" customHeight="1" x14ac:dyDescent="0.2">
      <c r="A20" s="215">
        <v>12020</v>
      </c>
      <c r="B20" s="552" t="s">
        <v>120</v>
      </c>
      <c r="C20" s="552"/>
      <c r="D20" s="216">
        <v>3</v>
      </c>
      <c r="E20" s="217">
        <f>SUM(H20-(H20*Capa!$C$1))</f>
        <v>31.57</v>
      </c>
      <c r="F20" s="193">
        <f>SUM(I20-(I20*Capa!$C$1))</f>
        <v>30.06</v>
      </c>
      <c r="G20" s="7"/>
      <c r="H20" s="192">
        <v>31.57</v>
      </c>
      <c r="I20" s="193">
        <v>30.06</v>
      </c>
    </row>
    <row r="21" spans="1:9" s="8" customFormat="1" ht="15" customHeight="1" x14ac:dyDescent="0.2">
      <c r="A21" s="27">
        <v>12022</v>
      </c>
      <c r="B21" s="553" t="s">
        <v>458</v>
      </c>
      <c r="C21" s="553"/>
      <c r="D21" s="28">
        <v>2.9</v>
      </c>
      <c r="E21" s="357">
        <f>SUM(H21-(H21*Capa!$C$1))</f>
        <v>42.13</v>
      </c>
      <c r="F21" s="170">
        <f>SUM(I21-(I21*Capa!$C$1))</f>
        <v>40.119999999999997</v>
      </c>
      <c r="G21" s="7"/>
      <c r="H21" s="165">
        <v>42.13</v>
      </c>
      <c r="I21" s="170">
        <v>40.119999999999997</v>
      </c>
    </row>
    <row r="22" spans="1:9" s="8" customFormat="1" ht="15" customHeight="1" x14ac:dyDescent="0.2">
      <c r="A22" s="212" t="s">
        <v>904</v>
      </c>
      <c r="B22" s="563" t="s">
        <v>905</v>
      </c>
      <c r="C22" s="563"/>
      <c r="D22" s="216">
        <v>3</v>
      </c>
      <c r="E22" s="217">
        <f>SUM(H22-(H22*Capa!$C$1))</f>
        <v>25.41</v>
      </c>
      <c r="F22" s="193">
        <f>SUM(I22-(I22*Capa!$C$1))</f>
        <v>24.14</v>
      </c>
      <c r="G22" s="7"/>
      <c r="H22" s="192">
        <v>25.41</v>
      </c>
      <c r="I22" s="193">
        <v>24.14</v>
      </c>
    </row>
    <row r="23" spans="1:9" s="8" customFormat="1" ht="15" customHeight="1" x14ac:dyDescent="0.2">
      <c r="A23" s="27">
        <v>12027</v>
      </c>
      <c r="B23" s="553" t="s">
        <v>353</v>
      </c>
      <c r="C23" s="553"/>
      <c r="D23" s="28">
        <v>3</v>
      </c>
      <c r="E23" s="357">
        <f>SUM(H23-(H23*Capa!$C$1))</f>
        <v>19.3</v>
      </c>
      <c r="F23" s="170">
        <f>SUM(I23-(I23*Capa!$C$1))</f>
        <v>18.329999999999998</v>
      </c>
      <c r="G23" s="7"/>
      <c r="H23" s="165">
        <v>19.3</v>
      </c>
      <c r="I23" s="170">
        <v>18.329999999999998</v>
      </c>
    </row>
    <row r="24" spans="1:9" s="8" customFormat="1" ht="15" customHeight="1" x14ac:dyDescent="0.2">
      <c r="A24" s="215">
        <v>12029</v>
      </c>
      <c r="B24" s="552" t="s">
        <v>323</v>
      </c>
      <c r="C24" s="552"/>
      <c r="D24" s="216">
        <v>2.9</v>
      </c>
      <c r="E24" s="217">
        <f>SUM(H24-(H24*Capa!$C$1))</f>
        <v>30.28</v>
      </c>
      <c r="F24" s="193">
        <f>SUM(I24-(I24*Capa!$C$1))</f>
        <v>28.84</v>
      </c>
      <c r="G24" s="7"/>
      <c r="H24" s="192">
        <v>30.28</v>
      </c>
      <c r="I24" s="193">
        <v>28.84</v>
      </c>
    </row>
    <row r="25" spans="1:9" s="8" customFormat="1" ht="15" customHeight="1" x14ac:dyDescent="0.2">
      <c r="A25" s="27">
        <v>12030</v>
      </c>
      <c r="B25" s="553" t="s">
        <v>736</v>
      </c>
      <c r="C25" s="553"/>
      <c r="D25" s="28">
        <v>2.9</v>
      </c>
      <c r="E25" s="357">
        <f>SUM(H25-(H25*Capa!$C$1))</f>
        <v>37.119999999999997</v>
      </c>
      <c r="F25" s="170">
        <f>SUM(I25-(I25*Capa!$C$1))</f>
        <v>35.26</v>
      </c>
      <c r="G25" s="7"/>
      <c r="H25" s="165">
        <v>37.119999999999997</v>
      </c>
      <c r="I25" s="170">
        <v>35.26</v>
      </c>
    </row>
    <row r="26" spans="1:9" s="8" customFormat="1" ht="15" customHeight="1" x14ac:dyDescent="0.2">
      <c r="A26" s="215">
        <v>12031</v>
      </c>
      <c r="B26" s="552" t="s">
        <v>611</v>
      </c>
      <c r="C26" s="552"/>
      <c r="D26" s="216">
        <v>2.9</v>
      </c>
      <c r="E26" s="217">
        <f>SUM(H26-(H26*Capa!$C$1))</f>
        <v>33.82</v>
      </c>
      <c r="F26" s="193">
        <f>SUM(I26-(I26*Capa!$C$1))</f>
        <v>32.21</v>
      </c>
      <c r="G26" s="7"/>
      <c r="H26" s="192">
        <v>33.82</v>
      </c>
      <c r="I26" s="193">
        <v>32.21</v>
      </c>
    </row>
    <row r="27" spans="1:9" s="8" customFormat="1" ht="15" customHeight="1" x14ac:dyDescent="0.2">
      <c r="A27" s="499" t="s">
        <v>902</v>
      </c>
      <c r="B27" s="561" t="s">
        <v>903</v>
      </c>
      <c r="C27" s="561"/>
      <c r="D27" s="28">
        <v>3</v>
      </c>
      <c r="E27" s="357">
        <f>SUM(H27-(H27*Capa!$C$1))</f>
        <v>29.34</v>
      </c>
      <c r="F27" s="170">
        <f>SUM(I27-(I27*Capa!$C$1))</f>
        <v>27.84</v>
      </c>
      <c r="G27" s="7"/>
      <c r="H27" s="165">
        <v>29.34</v>
      </c>
      <c r="I27" s="170">
        <v>27.84</v>
      </c>
    </row>
    <row r="28" spans="1:9" s="8" customFormat="1" ht="15" customHeight="1" x14ac:dyDescent="0.2">
      <c r="A28" s="215">
        <v>12034</v>
      </c>
      <c r="B28" s="552" t="s">
        <v>121</v>
      </c>
      <c r="C28" s="552"/>
      <c r="D28" s="216">
        <v>3</v>
      </c>
      <c r="E28" s="217">
        <f>SUM(H28-(H28*Capa!$C$1))</f>
        <v>33.340000000000003</v>
      </c>
      <c r="F28" s="193">
        <f>SUM(I28-(I28*Capa!$C$1))</f>
        <v>31.67</v>
      </c>
      <c r="G28" s="7"/>
      <c r="H28" s="192">
        <v>33.340000000000003</v>
      </c>
      <c r="I28" s="193">
        <v>31.67</v>
      </c>
    </row>
    <row r="29" spans="1:9" s="8" customFormat="1" ht="15" customHeight="1" x14ac:dyDescent="0.2">
      <c r="A29" s="27">
        <v>12035</v>
      </c>
      <c r="B29" s="553" t="s">
        <v>901</v>
      </c>
      <c r="C29" s="553"/>
      <c r="D29" s="28">
        <v>3</v>
      </c>
      <c r="E29" s="357">
        <f>SUM(H29-(H29*Capa!$C$1))</f>
        <v>16.86</v>
      </c>
      <c r="F29" s="170">
        <f>SUM(I29-(I29*Capa!$C$1))</f>
        <v>16.010000000000002</v>
      </c>
      <c r="G29" s="7"/>
      <c r="H29" s="165">
        <v>16.86</v>
      </c>
      <c r="I29" s="170">
        <v>16.010000000000002</v>
      </c>
    </row>
    <row r="30" spans="1:9" s="8" customFormat="1" ht="15" customHeight="1" x14ac:dyDescent="0.2">
      <c r="A30" s="215">
        <v>12036</v>
      </c>
      <c r="B30" s="552" t="s">
        <v>737</v>
      </c>
      <c r="C30" s="552"/>
      <c r="D30" s="216">
        <v>3</v>
      </c>
      <c r="E30" s="217">
        <f>SUM(H30-(H30*Capa!$C$1))</f>
        <v>25.85</v>
      </c>
      <c r="F30" s="193">
        <f>SUM(I30-(I30*Capa!$C$1))</f>
        <v>24.56</v>
      </c>
      <c r="G30" s="7"/>
      <c r="H30" s="192">
        <v>25.85</v>
      </c>
      <c r="I30" s="193">
        <v>24.56</v>
      </c>
    </row>
    <row r="31" spans="1:9" s="8" customFormat="1" ht="15" customHeight="1" x14ac:dyDescent="0.2">
      <c r="A31" s="27">
        <v>12037</v>
      </c>
      <c r="B31" s="553" t="s">
        <v>900</v>
      </c>
      <c r="C31" s="553"/>
      <c r="D31" s="28">
        <v>3</v>
      </c>
      <c r="E31" s="357">
        <f>SUM(H31-(H31*Capa!$C$1))</f>
        <v>17.559999999999999</v>
      </c>
      <c r="F31" s="170">
        <f>SUM(I31-(I31*Capa!$C$1))</f>
        <v>16.690000000000001</v>
      </c>
      <c r="G31" s="7"/>
      <c r="H31" s="165">
        <v>17.559999999999999</v>
      </c>
      <c r="I31" s="170">
        <v>16.690000000000001</v>
      </c>
    </row>
    <row r="32" spans="1:9" s="8" customFormat="1" ht="15" customHeight="1" x14ac:dyDescent="0.2">
      <c r="A32" s="215">
        <v>12039</v>
      </c>
      <c r="B32" s="552" t="s">
        <v>899</v>
      </c>
      <c r="C32" s="552"/>
      <c r="D32" s="216">
        <v>3</v>
      </c>
      <c r="E32" s="217">
        <f>SUM(H32-(H32*Capa!$C$1))</f>
        <v>19.3</v>
      </c>
      <c r="F32" s="193">
        <f>SUM(I32-(I32*Capa!$C$1))</f>
        <v>18.329999999999998</v>
      </c>
      <c r="G32" s="7"/>
      <c r="H32" s="192">
        <v>19.3</v>
      </c>
      <c r="I32" s="193">
        <v>18.329999999999998</v>
      </c>
    </row>
    <row r="33" spans="1:9" s="8" customFormat="1" ht="15" customHeight="1" x14ac:dyDescent="0.2">
      <c r="A33" s="27">
        <v>12041</v>
      </c>
      <c r="B33" s="553" t="s">
        <v>898</v>
      </c>
      <c r="C33" s="553"/>
      <c r="D33" s="28">
        <v>3</v>
      </c>
      <c r="E33" s="357">
        <f>SUM(H33-(H33*Capa!$C$1))</f>
        <v>19.3</v>
      </c>
      <c r="F33" s="170">
        <f>SUM(I33-(I33*Capa!$C$1))</f>
        <v>18.329999999999998</v>
      </c>
      <c r="G33" s="7"/>
      <c r="H33" s="165">
        <v>19.3</v>
      </c>
      <c r="I33" s="170">
        <v>18.329999999999998</v>
      </c>
    </row>
    <row r="34" spans="1:9" s="8" customFormat="1" ht="15" customHeight="1" x14ac:dyDescent="0.2">
      <c r="A34" s="212" t="s">
        <v>894</v>
      </c>
      <c r="B34" s="563" t="s">
        <v>896</v>
      </c>
      <c r="C34" s="563"/>
      <c r="D34" s="216">
        <v>3</v>
      </c>
      <c r="E34" s="217">
        <f>SUM(H34-(H34*Capa!$C$1))</f>
        <v>21.86</v>
      </c>
      <c r="F34" s="193">
        <f>SUM(I34-(I34*Capa!$C$1))</f>
        <v>20.77</v>
      </c>
      <c r="G34" s="7"/>
      <c r="H34" s="192">
        <v>21.86</v>
      </c>
      <c r="I34" s="193">
        <v>20.77</v>
      </c>
    </row>
    <row r="35" spans="1:9" s="8" customFormat="1" ht="15" customHeight="1" x14ac:dyDescent="0.2">
      <c r="A35" s="499" t="s">
        <v>895</v>
      </c>
      <c r="B35" s="561" t="s">
        <v>897</v>
      </c>
      <c r="C35" s="561"/>
      <c r="D35" s="28">
        <v>3</v>
      </c>
      <c r="E35" s="357">
        <f>SUM(H35-(H35*Capa!$C$1))</f>
        <v>17.62</v>
      </c>
      <c r="F35" s="170">
        <f>SUM(I35-(I35*Capa!$C$1))</f>
        <v>16.739999999999998</v>
      </c>
      <c r="G35" s="7"/>
      <c r="H35" s="165">
        <v>17.62</v>
      </c>
      <c r="I35" s="170">
        <v>16.739999999999998</v>
      </c>
    </row>
    <row r="36" spans="1:9" s="8" customFormat="1" ht="15" customHeight="1" x14ac:dyDescent="0.2">
      <c r="A36" s="215">
        <v>12044</v>
      </c>
      <c r="B36" s="552" t="s">
        <v>803</v>
      </c>
      <c r="C36" s="552"/>
      <c r="D36" s="216">
        <v>3</v>
      </c>
      <c r="E36" s="217">
        <f>SUM(H36-(H36*Capa!$C$1))</f>
        <v>23.74</v>
      </c>
      <c r="F36" s="193">
        <f>SUM(I36-(I36*Capa!$C$1))</f>
        <v>22.55</v>
      </c>
      <c r="G36" s="7"/>
      <c r="H36" s="192">
        <v>23.74</v>
      </c>
      <c r="I36" s="193">
        <v>22.55</v>
      </c>
    </row>
    <row r="37" spans="1:9" s="8" customFormat="1" ht="15" customHeight="1" x14ac:dyDescent="0.2">
      <c r="A37" s="27">
        <v>12045</v>
      </c>
      <c r="B37" s="553" t="s">
        <v>889</v>
      </c>
      <c r="C37" s="553"/>
      <c r="D37" s="28">
        <v>3</v>
      </c>
      <c r="E37" s="357">
        <f>SUM(H37-(H37*Capa!$C$1))</f>
        <v>32.99</v>
      </c>
      <c r="F37" s="170">
        <f>SUM(I37-(I37*Capa!$C$1))</f>
        <v>31.34</v>
      </c>
      <c r="G37" s="7"/>
      <c r="H37" s="165">
        <v>32.99</v>
      </c>
      <c r="I37" s="170">
        <v>31.34</v>
      </c>
    </row>
    <row r="38" spans="1:9" s="8" customFormat="1" ht="15" customHeight="1" x14ac:dyDescent="0.2">
      <c r="A38" s="215">
        <v>12046</v>
      </c>
      <c r="B38" s="552" t="s">
        <v>890</v>
      </c>
      <c r="C38" s="552"/>
      <c r="D38" s="216">
        <v>3</v>
      </c>
      <c r="E38" s="217">
        <f>SUM(H38-(H38*Capa!$C$1))</f>
        <v>23.67</v>
      </c>
      <c r="F38" s="193">
        <f>SUM(I38-(I38*Capa!$C$1))</f>
        <v>22.54</v>
      </c>
      <c r="G38" s="7"/>
      <c r="H38" s="192">
        <v>23.67</v>
      </c>
      <c r="I38" s="193">
        <v>22.54</v>
      </c>
    </row>
    <row r="39" spans="1:9" s="8" customFormat="1" ht="15" customHeight="1" x14ac:dyDescent="0.2">
      <c r="A39" s="27">
        <v>12047</v>
      </c>
      <c r="B39" s="553" t="s">
        <v>891</v>
      </c>
      <c r="C39" s="553"/>
      <c r="D39" s="28">
        <v>2.8</v>
      </c>
      <c r="E39" s="357">
        <f>SUM(H39-(H39*Capa!$C$1))</f>
        <v>26.68</v>
      </c>
      <c r="F39" s="170">
        <f>SUM(I39-(I39*Capa!$C$1))</f>
        <v>25.34</v>
      </c>
      <c r="G39" s="7"/>
      <c r="H39" s="165">
        <v>26.68</v>
      </c>
      <c r="I39" s="170">
        <v>25.34</v>
      </c>
    </row>
    <row r="40" spans="1:9" s="8" customFormat="1" ht="15" customHeight="1" x14ac:dyDescent="0.2">
      <c r="A40" s="215">
        <v>12048</v>
      </c>
      <c r="B40" s="552" t="s">
        <v>892</v>
      </c>
      <c r="C40" s="552"/>
      <c r="D40" s="216">
        <v>3</v>
      </c>
      <c r="E40" s="217">
        <f>SUM(H40-(H40*Capa!$C$1))</f>
        <v>17.600000000000001</v>
      </c>
      <c r="F40" s="193">
        <f>SUM(I40-(I40*Capa!$C$1))</f>
        <v>18.53</v>
      </c>
      <c r="G40" s="7"/>
      <c r="H40" s="192">
        <v>17.600000000000001</v>
      </c>
      <c r="I40" s="193">
        <v>18.53</v>
      </c>
    </row>
    <row r="41" spans="1:9" s="8" customFormat="1" ht="15" customHeight="1" thickBot="1" x14ac:dyDescent="0.25">
      <c r="A41" s="158">
        <v>12049</v>
      </c>
      <c r="B41" s="569" t="s">
        <v>893</v>
      </c>
      <c r="C41" s="569"/>
      <c r="D41" s="361">
        <v>3</v>
      </c>
      <c r="E41" s="362">
        <f>SUM(H41-(H41*Capa!$C$1))</f>
        <v>27.82</v>
      </c>
      <c r="F41" s="356">
        <f>SUM(I41-(I41*Capa!$C$1))</f>
        <v>26.49</v>
      </c>
      <c r="G41" s="7"/>
      <c r="H41" s="363">
        <v>27.82</v>
      </c>
      <c r="I41" s="356">
        <v>26.49</v>
      </c>
    </row>
  </sheetData>
  <sheetProtection sheet="1" objects="1" scenarios="1"/>
  <mergeCells count="44">
    <mergeCell ref="B37:C37"/>
    <mergeCell ref="B38:C38"/>
    <mergeCell ref="B39:C39"/>
    <mergeCell ref="B40:C40"/>
    <mergeCell ref="B41:C41"/>
    <mergeCell ref="B27:C27"/>
    <mergeCell ref="B33:C33"/>
    <mergeCell ref="B34:C34"/>
    <mergeCell ref="B35:C35"/>
    <mergeCell ref="B31:C31"/>
    <mergeCell ref="B30:C30"/>
    <mergeCell ref="B29:C29"/>
    <mergeCell ref="B28:C28"/>
    <mergeCell ref="B32:C32"/>
    <mergeCell ref="B15:C15"/>
    <mergeCell ref="B16:C16"/>
    <mergeCell ref="B17:C17"/>
    <mergeCell ref="B25:C25"/>
    <mergeCell ref="B26:C26"/>
    <mergeCell ref="B21:C21"/>
    <mergeCell ref="B22:C22"/>
    <mergeCell ref="B23:C23"/>
    <mergeCell ref="A1:F1"/>
    <mergeCell ref="B2:C2"/>
    <mergeCell ref="B3:C3"/>
    <mergeCell ref="B4:C4"/>
    <mergeCell ref="H3:I3"/>
    <mergeCell ref="H4:I4"/>
    <mergeCell ref="H16:I16"/>
    <mergeCell ref="B36:C36"/>
    <mergeCell ref="B11:C11"/>
    <mergeCell ref="B5:C5"/>
    <mergeCell ref="B6:C6"/>
    <mergeCell ref="B7:C7"/>
    <mergeCell ref="B8:C8"/>
    <mergeCell ref="B9:C9"/>
    <mergeCell ref="B10:C10"/>
    <mergeCell ref="B12:C12"/>
    <mergeCell ref="B13:C13"/>
    <mergeCell ref="B14:C14"/>
    <mergeCell ref="B18:C18"/>
    <mergeCell ref="B19:C19"/>
    <mergeCell ref="B20:C20"/>
    <mergeCell ref="B24:C24"/>
  </mergeCells>
  <printOptions horizontalCentered="1"/>
  <pageMargins left="0.23622047244094491" right="0.23622047244094491" top="0.39370078740157483" bottom="0.19685039370078741" header="0.19685039370078741" footer="0"/>
  <pageSetup paperSize="9" fitToWidth="0" fitToHeight="0" orientation="portrait" r:id="rId1"/>
  <headerFooter>
    <oddFooter>Página &amp;P</oddFooter>
  </headerFooter>
  <ignoredErrors>
    <ignoredError sqref="E16:F1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C743-88D5-4B68-B922-CCB2CAF6805B}">
  <dimension ref="A1:K34"/>
  <sheetViews>
    <sheetView showGridLines="0" showWhiteSpace="0" view="pageLayout" zoomScaleNormal="100" workbookViewId="0">
      <selection sqref="A1:F1"/>
    </sheetView>
  </sheetViews>
  <sheetFormatPr defaultRowHeight="12.75" x14ac:dyDescent="0.2"/>
  <cols>
    <col min="1" max="1" width="10.7109375" customWidth="1"/>
    <col min="2" max="2" width="45.7109375" customWidth="1"/>
    <col min="3" max="6" width="10.7109375" customWidth="1"/>
    <col min="8" max="9" width="12.7109375" style="22" hidden="1" customWidth="1"/>
  </cols>
  <sheetData>
    <row r="1" spans="1:11" ht="39.950000000000003" customHeight="1" thickBot="1" x14ac:dyDescent="0.25">
      <c r="A1" s="558" t="s">
        <v>804</v>
      </c>
      <c r="B1" s="559"/>
      <c r="C1" s="559"/>
      <c r="D1" s="559"/>
      <c r="E1" s="559"/>
      <c r="F1" s="560"/>
      <c r="G1" s="4"/>
      <c r="H1" s="49"/>
      <c r="I1" s="49"/>
    </row>
    <row r="2" spans="1:11" ht="15" customHeight="1" x14ac:dyDescent="0.2">
      <c r="A2" s="212" t="s">
        <v>132</v>
      </c>
      <c r="B2" s="562" t="s">
        <v>114</v>
      </c>
      <c r="C2" s="562"/>
      <c r="D2" s="213" t="s">
        <v>131</v>
      </c>
      <c r="E2" s="213" t="s">
        <v>345</v>
      </c>
      <c r="F2" s="214" t="s">
        <v>98</v>
      </c>
      <c r="G2" s="4"/>
      <c r="H2" s="25" t="s">
        <v>345</v>
      </c>
      <c r="I2" s="26" t="s">
        <v>98</v>
      </c>
    </row>
    <row r="3" spans="1:11" s="8" customFormat="1" ht="15" customHeight="1" x14ac:dyDescent="0.2">
      <c r="A3" s="499" t="s">
        <v>1024</v>
      </c>
      <c r="B3" s="561" t="s">
        <v>1021</v>
      </c>
      <c r="C3" s="561"/>
      <c r="D3" s="28">
        <v>2.9</v>
      </c>
      <c r="E3" s="357">
        <f>SUM(H3-(H3*Capa!$C$1))</f>
        <v>44.68</v>
      </c>
      <c r="F3" s="170">
        <f>SUM(I3-(I3*Capa!$C$1))</f>
        <v>44.34</v>
      </c>
      <c r="G3" s="7"/>
      <c r="H3" s="165">
        <v>44.68</v>
      </c>
      <c r="I3" s="170">
        <v>44.34</v>
      </c>
    </row>
    <row r="4" spans="1:11" s="8" customFormat="1" ht="15" customHeight="1" x14ac:dyDescent="0.2">
      <c r="A4" s="215">
        <v>13001</v>
      </c>
      <c r="B4" s="552" t="s">
        <v>805</v>
      </c>
      <c r="C4" s="552"/>
      <c r="D4" s="216">
        <v>2.5</v>
      </c>
      <c r="E4" s="217">
        <f>SUM(H4-(H4*Capa!$C$1))</f>
        <v>39.200000000000003</v>
      </c>
      <c r="F4" s="193">
        <f>SUM(I4-(I4*Capa!$C$1))</f>
        <v>37.200000000000003</v>
      </c>
      <c r="G4" s="7"/>
      <c r="H4" s="192">
        <v>39.200000000000003</v>
      </c>
      <c r="I4" s="193">
        <v>37.200000000000003</v>
      </c>
    </row>
    <row r="5" spans="1:11" s="8" customFormat="1" ht="15" customHeight="1" x14ac:dyDescent="0.2">
      <c r="A5" s="27">
        <v>13001</v>
      </c>
      <c r="B5" s="553" t="s">
        <v>806</v>
      </c>
      <c r="C5" s="553"/>
      <c r="D5" s="28">
        <v>1.4</v>
      </c>
      <c r="E5" s="357">
        <f>SUM(H5-(H5*Capa!$C$1))</f>
        <v>52.7</v>
      </c>
      <c r="F5" s="170">
        <f>SUM(I5-(I5*Capa!$C$1))</f>
        <v>50.06</v>
      </c>
      <c r="G5" s="7"/>
      <c r="H5" s="165">
        <v>52.7</v>
      </c>
      <c r="I5" s="170">
        <v>50.06</v>
      </c>
    </row>
    <row r="6" spans="1:11" s="8" customFormat="1" ht="15" customHeight="1" x14ac:dyDescent="0.2">
      <c r="A6" s="212" t="s">
        <v>910</v>
      </c>
      <c r="B6" s="563" t="s">
        <v>911</v>
      </c>
      <c r="C6" s="563"/>
      <c r="D6" s="216">
        <v>2.9</v>
      </c>
      <c r="E6" s="217">
        <f>SUM(H6-(H6*Capa!$C$1))</f>
        <v>44.84</v>
      </c>
      <c r="F6" s="193">
        <f>SUM(I6-(I6*Capa!$C$1))</f>
        <v>42.59</v>
      </c>
      <c r="G6" s="7"/>
      <c r="H6" s="192">
        <v>44.84</v>
      </c>
      <c r="I6" s="193">
        <v>42.59</v>
      </c>
    </row>
    <row r="7" spans="1:11" s="8" customFormat="1" ht="15" customHeight="1" x14ac:dyDescent="0.2">
      <c r="A7" s="499" t="s">
        <v>917</v>
      </c>
      <c r="B7" s="561" t="s">
        <v>912</v>
      </c>
      <c r="C7" s="561"/>
      <c r="D7" s="28">
        <v>1.45</v>
      </c>
      <c r="E7" s="357">
        <f>SUM(H7-(H7*Capa!$C$1))</f>
        <v>49.14</v>
      </c>
      <c r="F7" s="170">
        <f>SUM(I7-(I7*Capa!$C$1))</f>
        <v>46.68</v>
      </c>
      <c r="G7" s="7"/>
      <c r="H7" s="165">
        <v>49.14</v>
      </c>
      <c r="I7" s="170">
        <v>46.68</v>
      </c>
    </row>
    <row r="8" spans="1:11" s="8" customFormat="1" ht="15" customHeight="1" x14ac:dyDescent="0.2">
      <c r="A8" s="212" t="s">
        <v>918</v>
      </c>
      <c r="B8" s="563" t="s">
        <v>913</v>
      </c>
      <c r="C8" s="563"/>
      <c r="D8" s="216">
        <v>3</v>
      </c>
      <c r="E8" s="217">
        <f>SUM(H8-(H8*Capa!$C$1))</f>
        <v>55</v>
      </c>
      <c r="F8" s="193">
        <f>SUM(I8-(I8*Capa!$C$1))</f>
        <v>52.25</v>
      </c>
      <c r="G8" s="7"/>
      <c r="H8" s="192">
        <v>55</v>
      </c>
      <c r="I8" s="193">
        <v>52.25</v>
      </c>
    </row>
    <row r="9" spans="1:11" s="8" customFormat="1" ht="15" customHeight="1" x14ac:dyDescent="0.2">
      <c r="A9" s="499" t="s">
        <v>919</v>
      </c>
      <c r="B9" s="561" t="s">
        <v>914</v>
      </c>
      <c r="C9" s="561"/>
      <c r="D9" s="28">
        <v>1.45</v>
      </c>
      <c r="E9" s="357">
        <f>SUM(H9-(H9*Capa!$C$1))</f>
        <v>62.64</v>
      </c>
      <c r="F9" s="170">
        <f>SUM(I9-(I9*Capa!$C$1))</f>
        <v>59.51</v>
      </c>
      <c r="G9" s="7"/>
      <c r="H9" s="165">
        <v>62.64</v>
      </c>
      <c r="I9" s="170">
        <v>59.51</v>
      </c>
      <c r="K9" s="9"/>
    </row>
    <row r="10" spans="1:11" s="8" customFormat="1" ht="15" customHeight="1" x14ac:dyDescent="0.2">
      <c r="A10" s="212" t="s">
        <v>920</v>
      </c>
      <c r="B10" s="563" t="s">
        <v>915</v>
      </c>
      <c r="C10" s="563"/>
      <c r="D10" s="216">
        <v>1.45</v>
      </c>
      <c r="E10" s="217">
        <f>SUM(H10-(H10*Capa!$C$1))</f>
        <v>55.49</v>
      </c>
      <c r="F10" s="193">
        <f>SUM(I10-(I10*Capa!$C$1))</f>
        <v>52.72</v>
      </c>
      <c r="G10" s="7"/>
      <c r="H10" s="192">
        <v>55.49</v>
      </c>
      <c r="I10" s="193">
        <v>52.72</v>
      </c>
    </row>
    <row r="11" spans="1:11" s="8" customFormat="1" ht="15" customHeight="1" x14ac:dyDescent="0.2">
      <c r="A11" s="499" t="s">
        <v>921</v>
      </c>
      <c r="B11" s="561" t="s">
        <v>916</v>
      </c>
      <c r="C11" s="561"/>
      <c r="D11" s="28">
        <v>3</v>
      </c>
      <c r="E11" s="357">
        <f>SUM(H11-(H11*Capa!$C$1))</f>
        <v>39.76</v>
      </c>
      <c r="F11" s="170">
        <f>SUM(I11-(I11*Capa!$C$1))</f>
        <v>37.770000000000003</v>
      </c>
      <c r="G11" s="7"/>
      <c r="H11" s="165">
        <v>39.76</v>
      </c>
      <c r="I11" s="170">
        <v>37.770000000000003</v>
      </c>
    </row>
    <row r="12" spans="1:11" s="8" customFormat="1" ht="15" customHeight="1" x14ac:dyDescent="0.2">
      <c r="A12" s="212" t="s">
        <v>922</v>
      </c>
      <c r="B12" s="563" t="s">
        <v>871</v>
      </c>
      <c r="C12" s="563"/>
      <c r="D12" s="216">
        <v>3</v>
      </c>
      <c r="E12" s="217">
        <f>SUM(H12-(H12*Capa!$C$1))</f>
        <v>39.11</v>
      </c>
      <c r="F12" s="193">
        <f>SUM(I12-(I12*Capa!$C$1))</f>
        <v>37.15</v>
      </c>
      <c r="G12" s="7"/>
      <c r="H12" s="192">
        <v>39.11</v>
      </c>
      <c r="I12" s="193">
        <v>37.15</v>
      </c>
    </row>
    <row r="13" spans="1:11" s="8" customFormat="1" ht="15" customHeight="1" x14ac:dyDescent="0.2">
      <c r="A13" s="27">
        <v>13009</v>
      </c>
      <c r="B13" s="553" t="s">
        <v>807</v>
      </c>
      <c r="C13" s="553"/>
      <c r="D13" s="28">
        <v>3</v>
      </c>
      <c r="E13" s="357">
        <f>SUM(H13-(H13*Capa!$C$1))</f>
        <v>36.69</v>
      </c>
      <c r="F13" s="170">
        <f>SUM(I13-(I13*Capa!$C$1))</f>
        <v>34.94</v>
      </c>
      <c r="G13" s="7"/>
      <c r="H13" s="165">
        <v>36.69</v>
      </c>
      <c r="I13" s="170">
        <v>34.94</v>
      </c>
    </row>
    <row r="14" spans="1:11" s="8" customFormat="1" ht="15" customHeight="1" x14ac:dyDescent="0.2">
      <c r="A14" s="215">
        <v>13010</v>
      </c>
      <c r="B14" s="552" t="s">
        <v>808</v>
      </c>
      <c r="C14" s="552"/>
      <c r="D14" s="216">
        <v>2.9</v>
      </c>
      <c r="E14" s="217">
        <f>SUM(H14-(H14*Capa!$C$1))</f>
        <v>63.7</v>
      </c>
      <c r="F14" s="193">
        <f>SUM(I14-(I14*Capa!$C$1))</f>
        <v>60.51</v>
      </c>
      <c r="G14" s="7"/>
      <c r="H14" s="192">
        <v>63.7</v>
      </c>
      <c r="I14" s="193">
        <v>60.51</v>
      </c>
    </row>
    <row r="15" spans="1:11" s="8" customFormat="1" ht="15" customHeight="1" x14ac:dyDescent="0.2">
      <c r="A15" s="27">
        <v>13011</v>
      </c>
      <c r="B15" s="553" t="s">
        <v>809</v>
      </c>
      <c r="C15" s="553"/>
      <c r="D15" s="28">
        <v>2.9</v>
      </c>
      <c r="E15" s="357">
        <f>SUM(H15-(H15*Capa!$C$1))</f>
        <v>75.3</v>
      </c>
      <c r="F15" s="170">
        <f>SUM(I15-(I15*Capa!$C$1))</f>
        <v>71.53</v>
      </c>
      <c r="G15" s="7"/>
      <c r="H15" s="165">
        <v>75.3</v>
      </c>
      <c r="I15" s="170">
        <v>71.53</v>
      </c>
    </row>
    <row r="16" spans="1:11" s="8" customFormat="1" ht="15" customHeight="1" x14ac:dyDescent="0.2">
      <c r="A16" s="212" t="s">
        <v>923</v>
      </c>
      <c r="B16" s="563" t="s">
        <v>925</v>
      </c>
      <c r="C16" s="563"/>
      <c r="D16" s="216">
        <v>2.9</v>
      </c>
      <c r="E16" s="217">
        <f>SUM(H16-(H16*Capa!$C$1))</f>
        <v>52.41</v>
      </c>
      <c r="F16" s="193">
        <f>SUM(I16-(I16*Capa!$C$1))</f>
        <v>49.79</v>
      </c>
      <c r="G16" s="7"/>
      <c r="H16" s="192">
        <v>52.41</v>
      </c>
      <c r="I16" s="193">
        <v>49.79</v>
      </c>
    </row>
    <row r="17" spans="1:9" s="8" customFormat="1" ht="15" customHeight="1" x14ac:dyDescent="0.2">
      <c r="A17" s="499" t="s">
        <v>924</v>
      </c>
      <c r="B17" s="561" t="s">
        <v>926</v>
      </c>
      <c r="C17" s="561"/>
      <c r="D17" s="28">
        <v>2.9</v>
      </c>
      <c r="E17" s="357">
        <f>SUM(H17-(H17*Capa!$C$1))</f>
        <v>63.78</v>
      </c>
      <c r="F17" s="170">
        <f>SUM(I17-(I17*Capa!$C$1))</f>
        <v>60.59</v>
      </c>
      <c r="G17" s="7"/>
      <c r="H17" s="165">
        <v>63.78</v>
      </c>
      <c r="I17" s="170">
        <v>60.59</v>
      </c>
    </row>
    <row r="18" spans="1:9" s="8" customFormat="1" ht="15" customHeight="1" x14ac:dyDescent="0.2">
      <c r="A18" s="215">
        <v>13014</v>
      </c>
      <c r="B18" s="552" t="s">
        <v>810</v>
      </c>
      <c r="C18" s="552"/>
      <c r="D18" s="216">
        <v>3</v>
      </c>
      <c r="E18" s="217">
        <f>SUM(H18-(H18*Capa!$C$1))</f>
        <v>54.07</v>
      </c>
      <c r="F18" s="193">
        <f>SUM(I18-(I18*Capa!$C$1))</f>
        <v>51.5</v>
      </c>
      <c r="G18" s="7"/>
      <c r="H18" s="192">
        <v>54.07</v>
      </c>
      <c r="I18" s="193">
        <v>51.5</v>
      </c>
    </row>
    <row r="19" spans="1:9" s="8" customFormat="1" ht="15" customHeight="1" x14ac:dyDescent="0.2">
      <c r="A19" s="27">
        <v>13015</v>
      </c>
      <c r="B19" s="553" t="s">
        <v>811</v>
      </c>
      <c r="C19" s="553"/>
      <c r="D19" s="28">
        <v>2.8</v>
      </c>
      <c r="E19" s="357">
        <f>SUM(H19-(H19*Capa!$C$1))</f>
        <v>70.400000000000006</v>
      </c>
      <c r="F19" s="170">
        <f>SUM(I19-(I19*Capa!$C$1))</f>
        <v>66.88</v>
      </c>
      <c r="G19" s="7"/>
      <c r="H19" s="165">
        <v>70.400000000000006</v>
      </c>
      <c r="I19" s="170">
        <v>66.88</v>
      </c>
    </row>
    <row r="20" spans="1:9" s="8" customFormat="1" ht="15" customHeight="1" x14ac:dyDescent="0.2">
      <c r="A20" s="215">
        <v>13016</v>
      </c>
      <c r="B20" s="552" t="s">
        <v>812</v>
      </c>
      <c r="C20" s="552"/>
      <c r="D20" s="216">
        <v>2.9</v>
      </c>
      <c r="E20" s="217">
        <f>SUM(H20-(H20*Capa!$C$1))</f>
        <v>40.9</v>
      </c>
      <c r="F20" s="193">
        <f>SUM(I20-(I20*Capa!$C$1))</f>
        <v>38.86</v>
      </c>
      <c r="G20" s="7"/>
      <c r="H20" s="192">
        <v>40.9</v>
      </c>
      <c r="I20" s="193">
        <v>38.86</v>
      </c>
    </row>
    <row r="21" spans="1:9" s="8" customFormat="1" ht="15" customHeight="1" x14ac:dyDescent="0.2">
      <c r="A21" s="499" t="s">
        <v>927</v>
      </c>
      <c r="B21" s="561" t="s">
        <v>936</v>
      </c>
      <c r="C21" s="561"/>
      <c r="D21" s="28">
        <v>3</v>
      </c>
      <c r="E21" s="357">
        <f>SUM(H21-(H21*Capa!$C$1))</f>
        <v>79.59</v>
      </c>
      <c r="F21" s="170">
        <f>SUM(I21-(I21*Capa!$C$1))</f>
        <v>75.61</v>
      </c>
      <c r="G21" s="7"/>
      <c r="H21" s="165">
        <v>79.59</v>
      </c>
      <c r="I21" s="170">
        <v>75.61</v>
      </c>
    </row>
    <row r="22" spans="1:9" s="8" customFormat="1" ht="15" customHeight="1" x14ac:dyDescent="0.2">
      <c r="A22" s="212" t="s">
        <v>928</v>
      </c>
      <c r="B22" s="563" t="s">
        <v>935</v>
      </c>
      <c r="C22" s="563"/>
      <c r="D22" s="216">
        <v>2.9</v>
      </c>
      <c r="E22" s="217">
        <f>SUM(H22-(H22*Capa!$C$1))</f>
        <v>79.59</v>
      </c>
      <c r="F22" s="193">
        <f>SUM(I22-(I22*Capa!$C$1))</f>
        <v>75.61</v>
      </c>
      <c r="G22" s="7"/>
      <c r="H22" s="192">
        <v>79.59</v>
      </c>
      <c r="I22" s="193">
        <v>75.61</v>
      </c>
    </row>
    <row r="23" spans="1:9" s="8" customFormat="1" ht="15" customHeight="1" x14ac:dyDescent="0.2">
      <c r="A23" s="499" t="s">
        <v>929</v>
      </c>
      <c r="B23" s="561" t="s">
        <v>933</v>
      </c>
      <c r="C23" s="561"/>
      <c r="D23" s="28">
        <v>3</v>
      </c>
      <c r="E23" s="357">
        <f>SUM(H23-(H23*Capa!$C$1))</f>
        <v>52.91</v>
      </c>
      <c r="F23" s="170">
        <f>SUM(I23-(I23*Capa!$C$1))</f>
        <v>50.26</v>
      </c>
      <c r="G23" s="7"/>
      <c r="H23" s="165">
        <v>52.91</v>
      </c>
      <c r="I23" s="170">
        <v>50.26</v>
      </c>
    </row>
    <row r="24" spans="1:9" s="8" customFormat="1" ht="15" customHeight="1" x14ac:dyDescent="0.2">
      <c r="A24" s="212" t="s">
        <v>930</v>
      </c>
      <c r="B24" s="563" t="s">
        <v>934</v>
      </c>
      <c r="C24" s="563"/>
      <c r="D24" s="216">
        <v>2.9</v>
      </c>
      <c r="E24" s="217">
        <f>SUM(H24-(H24*Capa!$C$1))</f>
        <v>61.04</v>
      </c>
      <c r="F24" s="193">
        <f>SUM(I24-(I24*Capa!$C$1))</f>
        <v>57.99</v>
      </c>
      <c r="G24" s="7"/>
      <c r="H24" s="192">
        <v>61.04</v>
      </c>
      <c r="I24" s="193">
        <v>57.99</v>
      </c>
    </row>
    <row r="25" spans="1:9" s="8" customFormat="1" ht="15" customHeight="1" x14ac:dyDescent="0.2">
      <c r="A25" s="27">
        <v>13021</v>
      </c>
      <c r="B25" s="553" t="s">
        <v>813</v>
      </c>
      <c r="C25" s="553"/>
      <c r="D25" s="28">
        <v>3</v>
      </c>
      <c r="E25" s="357">
        <f>SUM(H25-(H25*Capa!$C$1))</f>
        <v>73.900000000000006</v>
      </c>
      <c r="F25" s="170">
        <f>SUM(I25-(I25*Capa!$C$1))</f>
        <v>65.84</v>
      </c>
      <c r="G25" s="7"/>
      <c r="H25" s="165">
        <v>73.900000000000006</v>
      </c>
      <c r="I25" s="170">
        <v>65.84</v>
      </c>
    </row>
    <row r="26" spans="1:9" s="8" customFormat="1" ht="15" customHeight="1" x14ac:dyDescent="0.2">
      <c r="A26" s="215">
        <v>13022</v>
      </c>
      <c r="B26" s="552" t="s">
        <v>814</v>
      </c>
      <c r="C26" s="552"/>
      <c r="D26" s="216">
        <v>3</v>
      </c>
      <c r="E26" s="217">
        <f>SUM(H26-(H26*Capa!$C$1))</f>
        <v>37.14</v>
      </c>
      <c r="F26" s="193">
        <f>SUM(I26-(I26*Capa!$C$1))</f>
        <v>35.29</v>
      </c>
      <c r="G26" s="7"/>
      <c r="H26" s="192">
        <v>37.14</v>
      </c>
      <c r="I26" s="193">
        <v>35.29</v>
      </c>
    </row>
    <row r="27" spans="1:9" s="8" customFormat="1" ht="15" customHeight="1" x14ac:dyDescent="0.2">
      <c r="A27" s="499" t="s">
        <v>931</v>
      </c>
      <c r="B27" s="561" t="s">
        <v>932</v>
      </c>
      <c r="C27" s="561"/>
      <c r="D27" s="28">
        <v>2.95</v>
      </c>
      <c r="E27" s="357">
        <f>SUM(H27-(H27*Capa!$C$1))</f>
        <v>54.57</v>
      </c>
      <c r="F27" s="170">
        <f>SUM(I27-(I27*Capa!$C$1))</f>
        <v>51.84</v>
      </c>
      <c r="G27" s="7"/>
      <c r="H27" s="165">
        <v>54.57</v>
      </c>
      <c r="I27" s="170">
        <v>51.84</v>
      </c>
    </row>
    <row r="28" spans="1:9" s="8" customFormat="1" ht="15" customHeight="1" x14ac:dyDescent="0.2">
      <c r="A28" s="215">
        <v>13024</v>
      </c>
      <c r="B28" s="552" t="s">
        <v>815</v>
      </c>
      <c r="C28" s="552"/>
      <c r="D28" s="216">
        <v>2.9</v>
      </c>
      <c r="E28" s="217">
        <f>SUM(H28-(H28*Capa!$C$1))</f>
        <v>46.96</v>
      </c>
      <c r="F28" s="193">
        <f>SUM(I28-(I28*Capa!$C$1))</f>
        <v>44.61</v>
      </c>
      <c r="G28" s="7"/>
      <c r="H28" s="192">
        <v>46.96</v>
      </c>
      <c r="I28" s="193">
        <v>44.61</v>
      </c>
    </row>
    <row r="29" spans="1:9" s="8" customFormat="1" ht="15" customHeight="1" x14ac:dyDescent="0.2">
      <c r="A29" s="499" t="s">
        <v>937</v>
      </c>
      <c r="B29" s="561" t="s">
        <v>943</v>
      </c>
      <c r="C29" s="561"/>
      <c r="D29" s="28">
        <v>2.95</v>
      </c>
      <c r="E29" s="357">
        <f>SUM(H29-(H29*Capa!$C$1))</f>
        <v>41.5</v>
      </c>
      <c r="F29" s="170">
        <f>SUM(I29-(I29*Capa!$C$1))</f>
        <v>39.43</v>
      </c>
      <c r="G29" s="7"/>
      <c r="H29" s="165">
        <v>41.5</v>
      </c>
      <c r="I29" s="170">
        <v>39.43</v>
      </c>
    </row>
    <row r="30" spans="1:9" s="8" customFormat="1" ht="15" customHeight="1" x14ac:dyDescent="0.2">
      <c r="A30" s="212" t="s">
        <v>938</v>
      </c>
      <c r="B30" s="563" t="s">
        <v>944</v>
      </c>
      <c r="C30" s="563"/>
      <c r="D30" s="216">
        <v>2.9</v>
      </c>
      <c r="E30" s="217">
        <f>SUM(H30-(H30*Capa!$C$1))</f>
        <v>65.2</v>
      </c>
      <c r="F30" s="193">
        <f>SUM(I30-(I30*Capa!$C$1))</f>
        <v>61.94</v>
      </c>
      <c r="G30" s="7"/>
      <c r="H30" s="192">
        <v>65.2</v>
      </c>
      <c r="I30" s="193">
        <v>61.94</v>
      </c>
    </row>
    <row r="31" spans="1:9" s="8" customFormat="1" ht="15" customHeight="1" x14ac:dyDescent="0.2">
      <c r="A31" s="499" t="s">
        <v>939</v>
      </c>
      <c r="B31" s="561" t="s">
        <v>945</v>
      </c>
      <c r="C31" s="561"/>
      <c r="D31" s="28">
        <v>2.9</v>
      </c>
      <c r="E31" s="357">
        <f>SUM(H31-(H31*Capa!$C$1))</f>
        <v>76.5</v>
      </c>
      <c r="F31" s="170">
        <f>SUM(I31-(I31*Capa!$C$1))</f>
        <v>72.680000000000007</v>
      </c>
      <c r="G31" s="7"/>
      <c r="H31" s="165">
        <v>76.5</v>
      </c>
      <c r="I31" s="170">
        <v>72.680000000000007</v>
      </c>
    </row>
    <row r="32" spans="1:9" s="8" customFormat="1" ht="15" customHeight="1" x14ac:dyDescent="0.2">
      <c r="A32" s="212" t="s">
        <v>940</v>
      </c>
      <c r="B32" s="563" t="s">
        <v>946</v>
      </c>
      <c r="C32" s="563"/>
      <c r="D32" s="216">
        <v>2.9</v>
      </c>
      <c r="E32" s="217">
        <f>SUM(H32-(H32*Capa!$C$1))</f>
        <v>59.28</v>
      </c>
      <c r="F32" s="193">
        <f>SUM(I32-(I32*Capa!$C$1))</f>
        <v>56.33</v>
      </c>
      <c r="G32" s="7"/>
      <c r="H32" s="192">
        <v>59.28</v>
      </c>
      <c r="I32" s="193">
        <v>56.33</v>
      </c>
    </row>
    <row r="33" spans="1:9" s="8" customFormat="1" ht="15" customHeight="1" x14ac:dyDescent="0.2">
      <c r="A33" s="499" t="s">
        <v>941</v>
      </c>
      <c r="B33" s="561" t="s">
        <v>947</v>
      </c>
      <c r="C33" s="561"/>
      <c r="D33" s="28">
        <v>2.9</v>
      </c>
      <c r="E33" s="357">
        <f>SUM(H33-(H33*Capa!$C$1))</f>
        <v>65.900000000000006</v>
      </c>
      <c r="F33" s="170">
        <f>SUM(I33-(I33*Capa!$C$1))</f>
        <v>62.6</v>
      </c>
      <c r="G33" s="7"/>
      <c r="H33" s="165">
        <v>65.900000000000006</v>
      </c>
      <c r="I33" s="170">
        <v>62.6</v>
      </c>
    </row>
    <row r="34" spans="1:9" s="8" customFormat="1" ht="15" customHeight="1" thickBot="1" x14ac:dyDescent="0.25">
      <c r="A34" s="500" t="s">
        <v>942</v>
      </c>
      <c r="B34" s="570" t="s">
        <v>948</v>
      </c>
      <c r="C34" s="570"/>
      <c r="D34" s="221">
        <v>2.9</v>
      </c>
      <c r="E34" s="222">
        <f>SUM(H34-(H34*Capa!$C$1))</f>
        <v>49.14</v>
      </c>
      <c r="F34" s="219">
        <f>SUM(I34-(I34*Capa!$C$1))</f>
        <v>46.68</v>
      </c>
      <c r="G34" s="7"/>
      <c r="H34" s="218">
        <v>49.14</v>
      </c>
      <c r="I34" s="219">
        <v>46.68</v>
      </c>
    </row>
  </sheetData>
  <sheetProtection sheet="1" objects="1" scenarios="1"/>
  <mergeCells count="34">
    <mergeCell ref="A1:F1"/>
    <mergeCell ref="B2:C2"/>
    <mergeCell ref="B3:C3"/>
    <mergeCell ref="B4:C4"/>
    <mergeCell ref="B5:C5"/>
    <mergeCell ref="B16:C16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33:C33"/>
    <mergeCell ref="B34:C34"/>
    <mergeCell ref="B29:C29"/>
    <mergeCell ref="B30:C30"/>
    <mergeCell ref="B31:C31"/>
    <mergeCell ref="B32:C32"/>
  </mergeCells>
  <printOptions horizontalCentered="1"/>
  <pageMargins left="0.23622047244094491" right="0.23622047244094491" top="0.39370078740157483" bottom="0.19685039370078741" header="0.19685039370078741" footer="0"/>
  <pageSetup paperSize="9" fitToWidth="0" fitToHeight="0" orientation="portrait" r:id="rId1"/>
  <headerFooter>
    <oddFooter>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7452-D524-4DA8-9DB9-8775532E496A}">
  <dimension ref="A1:K32"/>
  <sheetViews>
    <sheetView showGridLines="0" showWhiteSpace="0" view="pageLayout" zoomScaleNormal="100" workbookViewId="0">
      <selection sqref="A1:F1"/>
    </sheetView>
  </sheetViews>
  <sheetFormatPr defaultRowHeight="12.75" x14ac:dyDescent="0.2"/>
  <cols>
    <col min="1" max="1" width="10.7109375" customWidth="1"/>
    <col min="2" max="2" width="45.7109375" customWidth="1"/>
    <col min="3" max="6" width="10.7109375" customWidth="1"/>
    <col min="8" max="9" width="12.7109375" style="22" hidden="1" customWidth="1"/>
  </cols>
  <sheetData>
    <row r="1" spans="1:11" ht="39.950000000000003" customHeight="1" thickBot="1" x14ac:dyDescent="0.25">
      <c r="A1" s="558" t="s">
        <v>816</v>
      </c>
      <c r="B1" s="559"/>
      <c r="C1" s="559"/>
      <c r="D1" s="559"/>
      <c r="E1" s="559"/>
      <c r="F1" s="560"/>
      <c r="G1" s="4"/>
      <c r="H1" s="49"/>
      <c r="I1" s="49"/>
    </row>
    <row r="2" spans="1:11" ht="15" customHeight="1" x14ac:dyDescent="0.2">
      <c r="A2" s="212" t="s">
        <v>132</v>
      </c>
      <c r="B2" s="562" t="s">
        <v>114</v>
      </c>
      <c r="C2" s="562"/>
      <c r="D2" s="213" t="s">
        <v>131</v>
      </c>
      <c r="E2" s="213" t="s">
        <v>345</v>
      </c>
      <c r="F2" s="214" t="s">
        <v>98</v>
      </c>
      <c r="G2" s="4"/>
      <c r="H2" s="25" t="s">
        <v>345</v>
      </c>
      <c r="I2" s="26" t="s">
        <v>98</v>
      </c>
    </row>
    <row r="3" spans="1:11" s="8" customFormat="1" ht="15" customHeight="1" x14ac:dyDescent="0.2">
      <c r="A3" s="27">
        <v>14000</v>
      </c>
      <c r="B3" s="553" t="s">
        <v>949</v>
      </c>
      <c r="C3" s="553"/>
      <c r="D3" s="28">
        <v>3</v>
      </c>
      <c r="E3" s="357">
        <f>'Book 13'!E13</f>
        <v>36.69</v>
      </c>
      <c r="F3" s="170">
        <f>'Book 13'!F13</f>
        <v>34.94</v>
      </c>
      <c r="G3" s="7"/>
      <c r="H3" s="571" t="s">
        <v>139</v>
      </c>
      <c r="I3" s="572"/>
    </row>
    <row r="4" spans="1:11" s="8" customFormat="1" ht="15" customHeight="1" x14ac:dyDescent="0.2">
      <c r="A4" s="215">
        <v>14001</v>
      </c>
      <c r="B4" s="552" t="s">
        <v>950</v>
      </c>
      <c r="C4" s="552"/>
      <c r="D4" s="216">
        <v>3</v>
      </c>
      <c r="E4" s="217">
        <f>SUM(H4-(H4*Capa!$C$1))</f>
        <v>32.28</v>
      </c>
      <c r="F4" s="193">
        <f>SUM(I4-(I4*Capa!$C$1))</f>
        <v>30.67</v>
      </c>
      <c r="G4" s="7"/>
      <c r="H4" s="192">
        <v>32.28</v>
      </c>
      <c r="I4" s="193">
        <v>30.67</v>
      </c>
    </row>
    <row r="5" spans="1:11" s="8" customFormat="1" ht="15" customHeight="1" x14ac:dyDescent="0.2">
      <c r="A5" s="27">
        <v>14002</v>
      </c>
      <c r="B5" s="553" t="s">
        <v>951</v>
      </c>
      <c r="C5" s="553"/>
      <c r="D5" s="28">
        <v>2.8</v>
      </c>
      <c r="E5" s="357">
        <f>SUM(H5-(H5*Capa!$C$1))</f>
        <v>35.97</v>
      </c>
      <c r="F5" s="170">
        <f>SUM(I5-(I5*Capa!$C$1))</f>
        <v>34.17</v>
      </c>
      <c r="G5" s="7"/>
      <c r="H5" s="165">
        <v>35.97</v>
      </c>
      <c r="I5" s="170">
        <v>34.17</v>
      </c>
    </row>
    <row r="6" spans="1:11" s="8" customFormat="1" ht="15" customHeight="1" x14ac:dyDescent="0.2">
      <c r="A6" s="215">
        <v>14003</v>
      </c>
      <c r="B6" s="552" t="s">
        <v>952</v>
      </c>
      <c r="C6" s="552"/>
      <c r="D6" s="216">
        <v>3</v>
      </c>
      <c r="E6" s="217">
        <f>SUM(H6-(H6*Capa!$C$1))</f>
        <v>29.35</v>
      </c>
      <c r="F6" s="193">
        <f>SUM(I6-(I6*Capa!$C$1))</f>
        <v>27.88</v>
      </c>
      <c r="G6" s="7"/>
      <c r="H6" s="192">
        <v>29.35</v>
      </c>
      <c r="I6" s="193">
        <v>27.88</v>
      </c>
    </row>
    <row r="7" spans="1:11" s="8" customFormat="1" ht="15" customHeight="1" x14ac:dyDescent="0.2">
      <c r="A7" s="27">
        <v>14004</v>
      </c>
      <c r="B7" s="553" t="s">
        <v>953</v>
      </c>
      <c r="C7" s="553"/>
      <c r="D7" s="28">
        <v>3</v>
      </c>
      <c r="E7" s="357">
        <f>SUM(H7-(H7*Capa!$C$1))</f>
        <v>40.950000000000003</v>
      </c>
      <c r="F7" s="170">
        <f>SUM(I7-(I7*Capa!$C$1))</f>
        <v>38.9</v>
      </c>
      <c r="G7" s="7"/>
      <c r="H7" s="165">
        <v>40.950000000000003</v>
      </c>
      <c r="I7" s="170">
        <v>38.9</v>
      </c>
    </row>
    <row r="8" spans="1:11" s="8" customFormat="1" ht="15" customHeight="1" x14ac:dyDescent="0.2">
      <c r="A8" s="215">
        <v>14005</v>
      </c>
      <c r="B8" s="552" t="s">
        <v>954</v>
      </c>
      <c r="C8" s="552"/>
      <c r="D8" s="216">
        <v>2.8</v>
      </c>
      <c r="E8" s="217">
        <f>SUM(H8-(H8*Capa!$C$1))</f>
        <v>22.45</v>
      </c>
      <c r="F8" s="193">
        <f>SUM(I8-(I8*Capa!$C$1))</f>
        <v>21.33</v>
      </c>
      <c r="G8" s="7"/>
      <c r="H8" s="192">
        <v>22.45</v>
      </c>
      <c r="I8" s="193">
        <v>21.33</v>
      </c>
    </row>
    <row r="9" spans="1:11" s="8" customFormat="1" ht="15" customHeight="1" x14ac:dyDescent="0.2">
      <c r="A9" s="27">
        <v>14006</v>
      </c>
      <c r="B9" s="553" t="s">
        <v>955</v>
      </c>
      <c r="C9" s="553"/>
      <c r="D9" s="28">
        <v>3</v>
      </c>
      <c r="E9" s="357">
        <f>SUM(H9-(H9*Capa!$C$1))</f>
        <v>18.2</v>
      </c>
      <c r="F9" s="170">
        <f>SUM(I9-(I9*Capa!$C$1))</f>
        <v>17.29</v>
      </c>
      <c r="G9" s="7"/>
      <c r="H9" s="165">
        <v>18.2</v>
      </c>
      <c r="I9" s="170">
        <v>17.29</v>
      </c>
      <c r="K9" s="9"/>
    </row>
    <row r="10" spans="1:11" s="8" customFormat="1" ht="15" customHeight="1" x14ac:dyDescent="0.2">
      <c r="A10" s="215">
        <v>14007</v>
      </c>
      <c r="B10" s="552" t="s">
        <v>956</v>
      </c>
      <c r="C10" s="552"/>
      <c r="D10" s="216">
        <v>2.8</v>
      </c>
      <c r="E10" s="217">
        <f>SUM(H10-(H10*Capa!$C$1))</f>
        <v>27.4</v>
      </c>
      <c r="F10" s="193">
        <f>SUM(I10-(I10*Capa!$C$1))</f>
        <v>26.03</v>
      </c>
      <c r="G10" s="7"/>
      <c r="H10" s="192">
        <v>27.4</v>
      </c>
      <c r="I10" s="193">
        <v>26.03</v>
      </c>
    </row>
    <row r="11" spans="1:11" s="8" customFormat="1" ht="15" customHeight="1" x14ac:dyDescent="0.2">
      <c r="A11" s="27">
        <v>14009</v>
      </c>
      <c r="B11" s="553" t="s">
        <v>957</v>
      </c>
      <c r="C11" s="553"/>
      <c r="D11" s="28">
        <v>2.8</v>
      </c>
      <c r="E11" s="357">
        <f>SUM(H11-(H11*Capa!$C$1))</f>
        <v>28.56</v>
      </c>
      <c r="F11" s="170">
        <f>SUM(I11-(I11*Capa!$C$1))</f>
        <v>27.13</v>
      </c>
      <c r="G11" s="7"/>
      <c r="H11" s="165">
        <v>28.56</v>
      </c>
      <c r="I11" s="170">
        <v>27.13</v>
      </c>
    </row>
    <row r="12" spans="1:11" s="8" customFormat="1" ht="15" customHeight="1" x14ac:dyDescent="0.2">
      <c r="A12" s="215">
        <v>14010</v>
      </c>
      <c r="B12" s="552" t="s">
        <v>958</v>
      </c>
      <c r="C12" s="552"/>
      <c r="D12" s="216">
        <v>2.8</v>
      </c>
      <c r="E12" s="217">
        <f>SUM(H12-(H12*Capa!$C$1))</f>
        <v>38.53</v>
      </c>
      <c r="F12" s="193">
        <f>SUM(I12-(I12*Capa!$C$1))</f>
        <v>36.6</v>
      </c>
      <c r="G12" s="7"/>
      <c r="H12" s="192">
        <v>38.53</v>
      </c>
      <c r="I12" s="193">
        <v>36.6</v>
      </c>
    </row>
    <row r="13" spans="1:11" s="8" customFormat="1" ht="15" customHeight="1" x14ac:dyDescent="0.2">
      <c r="A13" s="27">
        <v>14011</v>
      </c>
      <c r="B13" s="553" t="s">
        <v>959</v>
      </c>
      <c r="C13" s="553"/>
      <c r="D13" s="28">
        <v>3</v>
      </c>
      <c r="E13" s="357">
        <f>SUM(H13-(H13*Capa!$C$1))</f>
        <v>27.94</v>
      </c>
      <c r="F13" s="170">
        <f>SUM(I13-(I13*Capa!$C$1))</f>
        <v>26.61</v>
      </c>
      <c r="G13" s="7"/>
      <c r="H13" s="165">
        <v>27.94</v>
      </c>
      <c r="I13" s="170">
        <v>26.61</v>
      </c>
    </row>
    <row r="14" spans="1:11" s="8" customFormat="1" ht="15" customHeight="1" x14ac:dyDescent="0.2">
      <c r="A14" s="215">
        <v>14012</v>
      </c>
      <c r="B14" s="552" t="s">
        <v>960</v>
      </c>
      <c r="C14" s="552"/>
      <c r="D14" s="216">
        <v>2.8</v>
      </c>
      <c r="E14" s="217">
        <f>SUM(H14-(H14*Capa!$C$1))</f>
        <v>15.48</v>
      </c>
      <c r="F14" s="193">
        <f>SUM(I14-(I14*Capa!$C$1))</f>
        <v>14.71</v>
      </c>
      <c r="G14" s="7"/>
      <c r="H14" s="192">
        <v>15.48</v>
      </c>
      <c r="I14" s="193">
        <v>14.71</v>
      </c>
    </row>
    <row r="15" spans="1:11" s="8" customFormat="1" ht="15" customHeight="1" x14ac:dyDescent="0.2">
      <c r="A15" s="27">
        <v>14013</v>
      </c>
      <c r="B15" s="553" t="s">
        <v>961</v>
      </c>
      <c r="C15" s="553"/>
      <c r="D15" s="28">
        <v>2.8</v>
      </c>
      <c r="E15" s="357">
        <f>SUM(H15-(H15*Capa!$C$1))</f>
        <v>17.600000000000001</v>
      </c>
      <c r="F15" s="170">
        <f>SUM(I15-(I15*Capa!$C$1))</f>
        <v>18.53</v>
      </c>
      <c r="G15" s="7"/>
      <c r="H15" s="165">
        <v>17.600000000000001</v>
      </c>
      <c r="I15" s="170">
        <v>18.53</v>
      </c>
    </row>
    <row r="16" spans="1:11" s="8" customFormat="1" ht="15" customHeight="1" x14ac:dyDescent="0.2">
      <c r="A16" s="215">
        <v>14014</v>
      </c>
      <c r="B16" s="552" t="s">
        <v>962</v>
      </c>
      <c r="C16" s="552"/>
      <c r="D16" s="216">
        <v>3</v>
      </c>
      <c r="E16" s="217">
        <f>SUM(H16-(H16*Capa!$C$1))</f>
        <v>19.3</v>
      </c>
      <c r="F16" s="193">
        <f>SUM(I16-(I16*Capa!$C$1))</f>
        <v>18.329999999999998</v>
      </c>
      <c r="G16" s="7"/>
      <c r="H16" s="192">
        <v>19.3</v>
      </c>
      <c r="I16" s="193">
        <v>18.329999999999998</v>
      </c>
    </row>
    <row r="17" spans="1:9" s="8" customFormat="1" ht="15" customHeight="1" x14ac:dyDescent="0.2">
      <c r="A17" s="27">
        <v>14015</v>
      </c>
      <c r="B17" s="553" t="s">
        <v>963</v>
      </c>
      <c r="C17" s="553"/>
      <c r="D17" s="28">
        <v>3</v>
      </c>
      <c r="E17" s="357">
        <f>SUM(H17-(H17*Capa!$C$1))</f>
        <v>17.559999999999999</v>
      </c>
      <c r="F17" s="170">
        <f>SUM(I17-(I17*Capa!$C$1))</f>
        <v>16.690000000000001</v>
      </c>
      <c r="G17" s="7"/>
      <c r="H17" s="165">
        <v>17.559999999999999</v>
      </c>
      <c r="I17" s="170">
        <v>16.690000000000001</v>
      </c>
    </row>
    <row r="18" spans="1:9" s="8" customFormat="1" ht="15" customHeight="1" x14ac:dyDescent="0.2">
      <c r="A18" s="215">
        <v>14016</v>
      </c>
      <c r="B18" s="552" t="s">
        <v>899</v>
      </c>
      <c r="C18" s="552"/>
      <c r="D18" s="216">
        <v>3</v>
      </c>
      <c r="E18" s="217">
        <f>SUM(H18-(H18*Capa!$C$1))</f>
        <v>19.3</v>
      </c>
      <c r="F18" s="193">
        <f>SUM(I18-(I18*Capa!$C$1))</f>
        <v>18.329999999999998</v>
      </c>
      <c r="G18" s="7"/>
      <c r="H18" s="192">
        <v>19.3</v>
      </c>
      <c r="I18" s="193">
        <v>18.329999999999998</v>
      </c>
    </row>
    <row r="19" spans="1:9" s="8" customFormat="1" ht="15" customHeight="1" x14ac:dyDescent="0.2">
      <c r="A19" s="27">
        <v>14017</v>
      </c>
      <c r="B19" s="553" t="s">
        <v>742</v>
      </c>
      <c r="C19" s="553"/>
      <c r="D19" s="28">
        <v>3</v>
      </c>
      <c r="E19" s="357">
        <f>SUM(H19-(H19*Capa!$C$1))</f>
        <v>9.69</v>
      </c>
      <c r="F19" s="170">
        <f>SUM(I19-(I19*Capa!$C$1))</f>
        <v>9.61</v>
      </c>
      <c r="G19" s="7"/>
      <c r="H19" s="165">
        <v>9.69</v>
      </c>
      <c r="I19" s="170">
        <v>9.61</v>
      </c>
    </row>
    <row r="20" spans="1:9" s="8" customFormat="1" ht="15" customHeight="1" x14ac:dyDescent="0.2">
      <c r="A20" s="215">
        <v>14018</v>
      </c>
      <c r="B20" s="552" t="s">
        <v>964</v>
      </c>
      <c r="C20" s="552"/>
      <c r="D20" s="216">
        <v>2.8</v>
      </c>
      <c r="E20" s="217">
        <f>SUM(H20-(H20*Capa!$C$1))</f>
        <v>17.78</v>
      </c>
      <c r="F20" s="193">
        <f>SUM(I20-(I20*Capa!$C$1))</f>
        <v>16.89</v>
      </c>
      <c r="G20" s="7"/>
      <c r="H20" s="192">
        <v>17.78</v>
      </c>
      <c r="I20" s="193">
        <v>16.89</v>
      </c>
    </row>
    <row r="21" spans="1:9" s="8" customFormat="1" ht="15" customHeight="1" x14ac:dyDescent="0.2">
      <c r="A21" s="27">
        <v>14019</v>
      </c>
      <c r="B21" s="553" t="s">
        <v>965</v>
      </c>
      <c r="C21" s="553"/>
      <c r="D21" s="28">
        <v>2.8</v>
      </c>
      <c r="E21" s="357">
        <f>SUM(H21-(H21*Capa!$C$1))</f>
        <v>91.93</v>
      </c>
      <c r="F21" s="170">
        <f>SUM(I21-(I21*Capa!$C$1))</f>
        <v>87.34</v>
      </c>
      <c r="G21" s="7"/>
      <c r="H21" s="165">
        <v>91.93</v>
      </c>
      <c r="I21" s="170">
        <v>87.34</v>
      </c>
    </row>
    <row r="22" spans="1:9" s="8" customFormat="1" ht="15" customHeight="1" x14ac:dyDescent="0.2">
      <c r="A22" s="215">
        <v>14020</v>
      </c>
      <c r="B22" s="552" t="s">
        <v>966</v>
      </c>
      <c r="C22" s="552"/>
      <c r="D22" s="216">
        <v>2.8</v>
      </c>
      <c r="E22" s="217">
        <f>SUM(H22-(H22*Capa!$C$1))</f>
        <v>74.91</v>
      </c>
      <c r="F22" s="193">
        <f>SUM(I22-(I22*Capa!$C$1))</f>
        <v>71.16</v>
      </c>
      <c r="G22" s="7"/>
      <c r="H22" s="192">
        <v>74.91</v>
      </c>
      <c r="I22" s="193">
        <v>71.16</v>
      </c>
    </row>
    <row r="23" spans="1:9" s="8" customFormat="1" ht="15" customHeight="1" x14ac:dyDescent="0.2">
      <c r="A23" s="27">
        <v>14021</v>
      </c>
      <c r="B23" s="553" t="s">
        <v>967</v>
      </c>
      <c r="C23" s="553"/>
      <c r="D23" s="28">
        <v>2.8</v>
      </c>
      <c r="E23" s="357">
        <f>SUM(H23-(H23*Capa!$C$1))</f>
        <v>33.049999999999997</v>
      </c>
      <c r="F23" s="170">
        <f>SUM(I23-(I23*Capa!$C$1))</f>
        <v>31.4</v>
      </c>
      <c r="G23" s="7"/>
      <c r="H23" s="165">
        <v>33.049999999999997</v>
      </c>
      <c r="I23" s="170">
        <v>31.4</v>
      </c>
    </row>
    <row r="24" spans="1:9" s="8" customFormat="1" ht="15" customHeight="1" x14ac:dyDescent="0.2">
      <c r="A24" s="215">
        <v>14022</v>
      </c>
      <c r="B24" s="552" t="s">
        <v>968</v>
      </c>
      <c r="C24" s="552"/>
      <c r="D24" s="216">
        <v>2.8</v>
      </c>
      <c r="E24" s="217">
        <f>SUM(H24-(H24*Capa!$C$1))</f>
        <v>77.09</v>
      </c>
      <c r="F24" s="193">
        <f>SUM(I24-(I24*Capa!$C$1))</f>
        <v>73.239999999999995</v>
      </c>
      <c r="G24" s="7"/>
      <c r="H24" s="192">
        <v>77.09</v>
      </c>
      <c r="I24" s="193">
        <v>73.239999999999995</v>
      </c>
    </row>
    <row r="25" spans="1:9" s="8" customFormat="1" ht="15" customHeight="1" x14ac:dyDescent="0.2">
      <c r="A25" s="27">
        <v>14023</v>
      </c>
      <c r="B25" s="553" t="s">
        <v>969</v>
      </c>
      <c r="C25" s="553"/>
      <c r="D25" s="28">
        <v>2.8</v>
      </c>
      <c r="E25" s="357">
        <f>SUM(H25-(H25*Capa!$C$1))</f>
        <v>63.2</v>
      </c>
      <c r="F25" s="170">
        <f>SUM(I25-(I25*Capa!$C$1))</f>
        <v>60.04</v>
      </c>
      <c r="G25" s="7"/>
      <c r="H25" s="165">
        <v>63.2</v>
      </c>
      <c r="I25" s="170">
        <v>60.04</v>
      </c>
    </row>
    <row r="26" spans="1:9" s="8" customFormat="1" ht="15" customHeight="1" x14ac:dyDescent="0.2">
      <c r="A26" s="215">
        <v>14024</v>
      </c>
      <c r="B26" s="552" t="s">
        <v>970</v>
      </c>
      <c r="C26" s="552"/>
      <c r="D26" s="216">
        <v>2.8</v>
      </c>
      <c r="E26" s="217">
        <f>SUM(H26-(H26*Capa!$C$1))</f>
        <v>50.99</v>
      </c>
      <c r="F26" s="193">
        <f>SUM(I26-(I26*Capa!$C$1))</f>
        <v>48.44</v>
      </c>
      <c r="G26" s="7"/>
      <c r="H26" s="192">
        <v>50.99</v>
      </c>
      <c r="I26" s="193">
        <v>48.44</v>
      </c>
    </row>
    <row r="27" spans="1:9" s="8" customFormat="1" ht="15" customHeight="1" x14ac:dyDescent="0.2">
      <c r="A27" s="27">
        <v>14025</v>
      </c>
      <c r="B27" s="553" t="s">
        <v>971</v>
      </c>
      <c r="C27" s="553"/>
      <c r="D27" s="28">
        <v>2.8</v>
      </c>
      <c r="E27" s="357">
        <f>SUM(H27-(H27*Capa!$C$1))</f>
        <v>54.29</v>
      </c>
      <c r="F27" s="170">
        <f>SUM(I27-(I27*Capa!$C$1))</f>
        <v>51.71</v>
      </c>
      <c r="G27" s="7"/>
      <c r="H27" s="165">
        <v>54.29</v>
      </c>
      <c r="I27" s="170">
        <v>51.71</v>
      </c>
    </row>
    <row r="28" spans="1:9" s="8" customFormat="1" ht="15" customHeight="1" x14ac:dyDescent="0.2">
      <c r="A28" s="215">
        <v>14026</v>
      </c>
      <c r="B28" s="552" t="s">
        <v>972</v>
      </c>
      <c r="C28" s="552"/>
      <c r="D28" s="216">
        <v>2.8</v>
      </c>
      <c r="E28" s="217">
        <f>SUM(H28-(H28*Capa!$C$1))</f>
        <v>67.22</v>
      </c>
      <c r="F28" s="193">
        <f>SUM(I28-(I28*Capa!$C$1))</f>
        <v>63.86</v>
      </c>
      <c r="G28" s="7"/>
      <c r="H28" s="192">
        <v>67.22</v>
      </c>
      <c r="I28" s="193">
        <v>63.86</v>
      </c>
    </row>
    <row r="29" spans="1:9" s="8" customFormat="1" ht="15" customHeight="1" x14ac:dyDescent="0.2">
      <c r="A29" s="27">
        <v>14027</v>
      </c>
      <c r="B29" s="553" t="s">
        <v>973</v>
      </c>
      <c r="C29" s="553"/>
      <c r="D29" s="28">
        <v>2.8</v>
      </c>
      <c r="E29" s="357">
        <f>'Book 15'!E12</f>
        <v>25.29</v>
      </c>
      <c r="F29" s="170">
        <f>'Book 15'!F12</f>
        <v>24.02</v>
      </c>
      <c r="G29" s="7"/>
      <c r="H29" s="571" t="s">
        <v>139</v>
      </c>
      <c r="I29" s="572"/>
    </row>
    <row r="30" spans="1:9" s="8" customFormat="1" ht="15" customHeight="1" x14ac:dyDescent="0.2">
      <c r="A30" s="215">
        <v>14028</v>
      </c>
      <c r="B30" s="552" t="s">
        <v>974</v>
      </c>
      <c r="C30" s="552"/>
      <c r="D30" s="216">
        <v>3</v>
      </c>
      <c r="E30" s="217">
        <f>SUM(H30-(H30*Capa!$C$1))</f>
        <v>14.98</v>
      </c>
      <c r="F30" s="193">
        <f>SUM(I30-(I30*Capa!$C$1))</f>
        <v>14.23</v>
      </c>
      <c r="G30" s="7"/>
      <c r="H30" s="192">
        <v>14.98</v>
      </c>
      <c r="I30" s="193">
        <v>14.23</v>
      </c>
    </row>
    <row r="31" spans="1:9" s="8" customFormat="1" ht="15" customHeight="1" x14ac:dyDescent="0.2">
      <c r="A31" s="27">
        <v>14029</v>
      </c>
      <c r="B31" s="553" t="s">
        <v>975</v>
      </c>
      <c r="C31" s="553"/>
      <c r="D31" s="28">
        <v>3</v>
      </c>
      <c r="E31" s="357">
        <f>'Book 15'!E15</f>
        <v>9.61</v>
      </c>
      <c r="F31" s="170">
        <f>'Book 15'!F15</f>
        <v>9.1199999999999992</v>
      </c>
      <c r="G31" s="7"/>
      <c r="H31" s="571" t="s">
        <v>139</v>
      </c>
      <c r="I31" s="572"/>
    </row>
    <row r="32" spans="1:9" s="8" customFormat="1" ht="15" customHeight="1" thickBot="1" x14ac:dyDescent="0.25">
      <c r="A32" s="220">
        <v>14030</v>
      </c>
      <c r="B32" s="564" t="s">
        <v>976</v>
      </c>
      <c r="C32" s="564"/>
      <c r="D32" s="221">
        <v>2.8</v>
      </c>
      <c r="E32" s="222">
        <f>'Book 15'!E14</f>
        <v>9</v>
      </c>
      <c r="F32" s="219">
        <f>'Book 15'!F14</f>
        <v>8.56</v>
      </c>
      <c r="G32" s="7"/>
      <c r="H32" s="573" t="s">
        <v>139</v>
      </c>
      <c r="I32" s="574"/>
    </row>
  </sheetData>
  <sheetProtection sheet="1" objects="1" scenarios="1"/>
  <mergeCells count="36">
    <mergeCell ref="B6:C6"/>
    <mergeCell ref="B7:C7"/>
    <mergeCell ref="B8:C8"/>
    <mergeCell ref="B9:C9"/>
    <mergeCell ref="B10:C10"/>
    <mergeCell ref="A1:F1"/>
    <mergeCell ref="B2:C2"/>
    <mergeCell ref="B3:C3"/>
    <mergeCell ref="B4:C4"/>
    <mergeCell ref="B5:C5"/>
    <mergeCell ref="B19:C19"/>
    <mergeCell ref="B20:C20"/>
    <mergeCell ref="B21:C21"/>
    <mergeCell ref="B22:C22"/>
    <mergeCell ref="B11:C11"/>
    <mergeCell ref="B14:C14"/>
    <mergeCell ref="B15:C15"/>
    <mergeCell ref="B16:C16"/>
    <mergeCell ref="B17:C17"/>
    <mergeCell ref="B18:C18"/>
    <mergeCell ref="H3:I3"/>
    <mergeCell ref="H29:I29"/>
    <mergeCell ref="H31:I31"/>
    <mergeCell ref="H32:I32"/>
    <mergeCell ref="B30:C30"/>
    <mergeCell ref="B31:C31"/>
    <mergeCell ref="B32:C32"/>
    <mergeCell ref="B24:C24"/>
    <mergeCell ref="B25:C25"/>
    <mergeCell ref="B26:C26"/>
    <mergeCell ref="B27:C27"/>
    <mergeCell ref="B28:C28"/>
    <mergeCell ref="B29:C29"/>
    <mergeCell ref="B23:C23"/>
    <mergeCell ref="B12:C12"/>
    <mergeCell ref="B13:C13"/>
  </mergeCells>
  <printOptions horizontalCentered="1"/>
  <pageMargins left="0.23622047244094491" right="0.23622047244094491" top="0.39370078740157483" bottom="0.19685039370078741" header="0.19685039370078741" footer="0"/>
  <pageSetup paperSize="9" fitToWidth="0" fitToHeight="0" orientation="portrait" r:id="rId1"/>
  <headerFooter>
    <oddFooter>Página &amp;P</oddFooter>
  </headerFooter>
  <ignoredErrors>
    <ignoredError sqref="E29:F29 E31:F3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3688-860D-41BB-9A77-F67C0A8DCFCD}">
  <dimension ref="A1:K27"/>
  <sheetViews>
    <sheetView showGridLines="0" showWhiteSpace="0" view="pageLayout" zoomScaleNormal="100" workbookViewId="0">
      <selection sqref="A1:F1"/>
    </sheetView>
  </sheetViews>
  <sheetFormatPr defaultRowHeight="12.75" x14ac:dyDescent="0.2"/>
  <cols>
    <col min="1" max="1" width="10.7109375" customWidth="1"/>
    <col min="2" max="2" width="45.7109375" customWidth="1"/>
    <col min="3" max="6" width="10.7109375" customWidth="1"/>
    <col min="8" max="9" width="12.7109375" style="22" hidden="1" customWidth="1"/>
  </cols>
  <sheetData>
    <row r="1" spans="1:11" ht="39.950000000000003" customHeight="1" thickBot="1" x14ac:dyDescent="0.25">
      <c r="A1" s="558" t="s">
        <v>817</v>
      </c>
      <c r="B1" s="559"/>
      <c r="C1" s="559"/>
      <c r="D1" s="559"/>
      <c r="E1" s="559"/>
      <c r="F1" s="560"/>
      <c r="G1" s="4"/>
      <c r="H1" s="49"/>
      <c r="I1" s="49"/>
    </row>
    <row r="2" spans="1:11" ht="15" customHeight="1" x14ac:dyDescent="0.2">
      <c r="A2" s="212" t="s">
        <v>132</v>
      </c>
      <c r="B2" s="562" t="s">
        <v>114</v>
      </c>
      <c r="C2" s="562"/>
      <c r="D2" s="213" t="s">
        <v>131</v>
      </c>
      <c r="E2" s="213" t="s">
        <v>345</v>
      </c>
      <c r="F2" s="214" t="s">
        <v>98</v>
      </c>
      <c r="G2" s="4"/>
      <c r="H2" s="25" t="s">
        <v>345</v>
      </c>
      <c r="I2" s="26" t="s">
        <v>98</v>
      </c>
    </row>
    <row r="3" spans="1:11" s="8" customFormat="1" ht="15" customHeight="1" x14ac:dyDescent="0.2">
      <c r="A3" s="27">
        <v>15000</v>
      </c>
      <c r="B3" s="553" t="s">
        <v>818</v>
      </c>
      <c r="C3" s="553"/>
      <c r="D3" s="28">
        <v>2.8</v>
      </c>
      <c r="E3" s="357">
        <f>SUM(H3-(H3*Capa!$C$1))</f>
        <v>54.07</v>
      </c>
      <c r="F3" s="170">
        <f>SUM(I3-(I3*Capa!$C$1))</f>
        <v>51.5</v>
      </c>
      <c r="G3" s="7"/>
      <c r="H3" s="165">
        <v>54.07</v>
      </c>
      <c r="I3" s="170">
        <v>51.5</v>
      </c>
    </row>
    <row r="4" spans="1:11" s="8" customFormat="1" ht="15" customHeight="1" x14ac:dyDescent="0.2">
      <c r="A4" s="215">
        <v>15001</v>
      </c>
      <c r="B4" s="552" t="s">
        <v>614</v>
      </c>
      <c r="C4" s="552"/>
      <c r="D4" s="216">
        <v>2.8</v>
      </c>
      <c r="E4" s="217">
        <f>SUM(H4-(H4*Capa!$C$1))</f>
        <v>93.74</v>
      </c>
      <c r="F4" s="193">
        <f>SUM(I4-(I4*Capa!$C$1))</f>
        <v>89.05</v>
      </c>
      <c r="G4" s="7"/>
      <c r="H4" s="192">
        <v>93.74</v>
      </c>
      <c r="I4" s="193">
        <v>89.05</v>
      </c>
    </row>
    <row r="5" spans="1:11" s="8" customFormat="1" ht="15" customHeight="1" x14ac:dyDescent="0.2">
      <c r="A5" s="27">
        <v>15002</v>
      </c>
      <c r="B5" s="553" t="s">
        <v>615</v>
      </c>
      <c r="C5" s="553"/>
      <c r="D5" s="28">
        <v>2.8</v>
      </c>
      <c r="E5" s="357">
        <f>SUM(H5-(H5*Capa!$C$1))</f>
        <v>91.93</v>
      </c>
      <c r="F5" s="170">
        <f>SUM(I5-(I5*Capa!$C$1))</f>
        <v>87.33</v>
      </c>
      <c r="G5" s="7"/>
      <c r="H5" s="165">
        <v>91.93</v>
      </c>
      <c r="I5" s="170">
        <v>87.33</v>
      </c>
    </row>
    <row r="6" spans="1:11" s="8" customFormat="1" ht="15" customHeight="1" x14ac:dyDescent="0.2">
      <c r="A6" s="215">
        <v>15003</v>
      </c>
      <c r="B6" s="552" t="s">
        <v>543</v>
      </c>
      <c r="C6" s="552"/>
      <c r="D6" s="216">
        <v>2.8</v>
      </c>
      <c r="E6" s="217">
        <f>SUM(H6-(H6*Capa!$C$1))</f>
        <v>99.16</v>
      </c>
      <c r="F6" s="193">
        <f>SUM(I6-(I6*Capa!$C$1))</f>
        <v>94.2</v>
      </c>
      <c r="G6" s="7"/>
      <c r="H6" s="192">
        <v>99.16</v>
      </c>
      <c r="I6" s="193">
        <v>94.2</v>
      </c>
    </row>
    <row r="7" spans="1:11" s="8" customFormat="1" ht="15" customHeight="1" x14ac:dyDescent="0.2">
      <c r="A7" s="27">
        <v>15004</v>
      </c>
      <c r="B7" s="553" t="s">
        <v>544</v>
      </c>
      <c r="C7" s="553"/>
      <c r="D7" s="28">
        <v>2.8</v>
      </c>
      <c r="E7" s="357">
        <f>SUM(H7-(H7*Capa!$C$1))</f>
        <v>94.64</v>
      </c>
      <c r="F7" s="170">
        <f>SUM(I7-(I7*Capa!$C$1))</f>
        <v>89.94</v>
      </c>
      <c r="G7" s="7"/>
      <c r="H7" s="165">
        <v>94.64</v>
      </c>
      <c r="I7" s="170">
        <v>89.94</v>
      </c>
    </row>
    <row r="8" spans="1:11" s="8" customFormat="1" ht="15" customHeight="1" x14ac:dyDescent="0.2">
      <c r="A8" s="215">
        <v>15005</v>
      </c>
      <c r="B8" s="552" t="s">
        <v>616</v>
      </c>
      <c r="C8" s="552"/>
      <c r="D8" s="216">
        <v>2.8</v>
      </c>
      <c r="E8" s="217">
        <f>SUM(H8-(H8*Capa!$C$1))</f>
        <v>72.709999999999994</v>
      </c>
      <c r="F8" s="193">
        <f>SUM(I8-(I8*Capa!$C$1))</f>
        <v>69.069999999999993</v>
      </c>
      <c r="G8" s="7"/>
      <c r="H8" s="192">
        <v>72.709999999999994</v>
      </c>
      <c r="I8" s="193">
        <v>69.069999999999993</v>
      </c>
    </row>
    <row r="9" spans="1:11" s="8" customFormat="1" ht="15" customHeight="1" x14ac:dyDescent="0.2">
      <c r="A9" s="27">
        <v>15006</v>
      </c>
      <c r="B9" s="553" t="s">
        <v>982</v>
      </c>
      <c r="C9" s="553"/>
      <c r="D9" s="28">
        <v>2.8</v>
      </c>
      <c r="E9" s="357">
        <f>SUM(H9-(H9*Capa!$C$1))</f>
        <v>35.659999999999997</v>
      </c>
      <c r="F9" s="170">
        <f>SUM(I9-(I9*Capa!$C$1))</f>
        <v>33.97</v>
      </c>
      <c r="G9" s="7"/>
      <c r="H9" s="165">
        <v>35.659999999999997</v>
      </c>
      <c r="I9" s="170">
        <v>33.97</v>
      </c>
      <c r="K9" s="9"/>
    </row>
    <row r="10" spans="1:11" s="8" customFormat="1" ht="15" customHeight="1" x14ac:dyDescent="0.2">
      <c r="A10" s="215">
        <v>15007</v>
      </c>
      <c r="B10" s="552" t="s">
        <v>617</v>
      </c>
      <c r="C10" s="552"/>
      <c r="D10" s="216">
        <v>2.8</v>
      </c>
      <c r="E10" s="217">
        <f>SUM(H10-(H10*Capa!$C$1))</f>
        <v>68.239999999999995</v>
      </c>
      <c r="F10" s="193">
        <f>SUM(I10-(I10*Capa!$C$1))</f>
        <v>64.83</v>
      </c>
      <c r="G10" s="7"/>
      <c r="H10" s="192">
        <v>68.239999999999995</v>
      </c>
      <c r="I10" s="193">
        <v>64.83</v>
      </c>
    </row>
    <row r="11" spans="1:11" s="8" customFormat="1" ht="15" customHeight="1" x14ac:dyDescent="0.2">
      <c r="A11" s="27">
        <v>15008</v>
      </c>
      <c r="B11" s="553" t="s">
        <v>983</v>
      </c>
      <c r="C11" s="553"/>
      <c r="D11" s="28">
        <v>3</v>
      </c>
      <c r="E11" s="357">
        <f>SUM(H11-(H11*Capa!$C$1))</f>
        <v>55.45</v>
      </c>
      <c r="F11" s="170">
        <f>SUM(I11-(I11*Capa!$C$1))</f>
        <v>52.68</v>
      </c>
      <c r="G11" s="7"/>
      <c r="H11" s="165">
        <v>55.45</v>
      </c>
      <c r="I11" s="170">
        <v>52.68</v>
      </c>
    </row>
    <row r="12" spans="1:11" s="8" customFormat="1" ht="15" customHeight="1" x14ac:dyDescent="0.2">
      <c r="A12" s="215">
        <v>15009</v>
      </c>
      <c r="B12" s="552" t="s">
        <v>984</v>
      </c>
      <c r="C12" s="552"/>
      <c r="D12" s="216">
        <v>2.8</v>
      </c>
      <c r="E12" s="217">
        <f>SUM(H12-(H12*Capa!$C$1))</f>
        <v>25.29</v>
      </c>
      <c r="F12" s="193">
        <f>SUM(I12-(I12*Capa!$C$1))</f>
        <v>24.02</v>
      </c>
      <c r="G12" s="7"/>
      <c r="H12" s="192">
        <v>25.29</v>
      </c>
      <c r="I12" s="193">
        <v>24.02</v>
      </c>
    </row>
    <row r="13" spans="1:11" s="8" customFormat="1" ht="15" customHeight="1" x14ac:dyDescent="0.2">
      <c r="A13" s="27">
        <v>15010</v>
      </c>
      <c r="B13" s="553" t="s">
        <v>981</v>
      </c>
      <c r="C13" s="553"/>
      <c r="D13" s="28">
        <v>3</v>
      </c>
      <c r="E13" s="357">
        <f>SUM(H13-(H13*Capa!$C$1))</f>
        <v>28.08</v>
      </c>
      <c r="F13" s="170">
        <f>SUM(I13-(I13*Capa!$C$1))</f>
        <v>27.63</v>
      </c>
      <c r="G13" s="7"/>
      <c r="H13" s="165">
        <v>28.08</v>
      </c>
      <c r="I13" s="170">
        <v>27.63</v>
      </c>
    </row>
    <row r="14" spans="1:11" s="8" customFormat="1" ht="15" customHeight="1" x14ac:dyDescent="0.2">
      <c r="A14" s="215">
        <v>15011</v>
      </c>
      <c r="B14" s="552" t="s">
        <v>980</v>
      </c>
      <c r="C14" s="552"/>
      <c r="D14" s="216">
        <v>2.8</v>
      </c>
      <c r="E14" s="217">
        <f>SUM(H14-(H14*Capa!$C$1))</f>
        <v>9</v>
      </c>
      <c r="F14" s="193">
        <f>SUM(I14-(I14*Capa!$C$1))</f>
        <v>8.56</v>
      </c>
      <c r="G14" s="7"/>
      <c r="H14" s="192">
        <v>9</v>
      </c>
      <c r="I14" s="193">
        <v>8.56</v>
      </c>
    </row>
    <row r="15" spans="1:11" s="8" customFormat="1" ht="15" customHeight="1" x14ac:dyDescent="0.2">
      <c r="A15" s="27">
        <v>15012</v>
      </c>
      <c r="B15" s="553" t="s">
        <v>979</v>
      </c>
      <c r="C15" s="553"/>
      <c r="D15" s="28">
        <v>3</v>
      </c>
      <c r="E15" s="357">
        <f>SUM(H15-(H15*Capa!$C$1))</f>
        <v>9.61</v>
      </c>
      <c r="F15" s="170">
        <f>SUM(I15-(I15*Capa!$C$1))</f>
        <v>9.1199999999999992</v>
      </c>
      <c r="G15" s="7"/>
      <c r="H15" s="165">
        <v>9.61</v>
      </c>
      <c r="I15" s="170">
        <v>9.1199999999999992</v>
      </c>
    </row>
    <row r="16" spans="1:11" s="8" customFormat="1" ht="15" customHeight="1" x14ac:dyDescent="0.2">
      <c r="A16" s="215">
        <v>15013</v>
      </c>
      <c r="B16" s="552" t="s">
        <v>978</v>
      </c>
      <c r="C16" s="552"/>
      <c r="D16" s="216">
        <v>3</v>
      </c>
      <c r="E16" s="217">
        <f>SUM(H16-(H16*Capa!$C$1))</f>
        <v>14.76</v>
      </c>
      <c r="F16" s="193">
        <f>SUM(I16-(I16*Capa!$C$1))</f>
        <v>14.06</v>
      </c>
      <c r="G16" s="7"/>
      <c r="H16" s="192">
        <v>14.76</v>
      </c>
      <c r="I16" s="193">
        <v>14.06</v>
      </c>
    </row>
    <row r="17" spans="1:9" s="8" customFormat="1" ht="15" customHeight="1" x14ac:dyDescent="0.2">
      <c r="A17" s="27">
        <v>15014</v>
      </c>
      <c r="B17" s="553" t="s">
        <v>985</v>
      </c>
      <c r="C17" s="553"/>
      <c r="D17" s="28">
        <v>2.8</v>
      </c>
      <c r="E17" s="357">
        <f>SUM(H17-(H17*Capa!$C$1))</f>
        <v>17.98</v>
      </c>
      <c r="F17" s="170">
        <f>SUM(I17-(I17*Capa!$C$1))</f>
        <v>17.079999999999998</v>
      </c>
      <c r="G17" s="7"/>
      <c r="H17" s="165">
        <v>17.98</v>
      </c>
      <c r="I17" s="170">
        <v>17.079999999999998</v>
      </c>
    </row>
    <row r="18" spans="1:9" s="8" customFormat="1" ht="15" customHeight="1" x14ac:dyDescent="0.2">
      <c r="A18" s="215">
        <v>15015</v>
      </c>
      <c r="B18" s="552" t="s">
        <v>122</v>
      </c>
      <c r="C18" s="552"/>
      <c r="D18" s="216">
        <v>3</v>
      </c>
      <c r="E18" s="217">
        <f>SUM(H18-(H18*Capa!$C$1))</f>
        <v>29.72</v>
      </c>
      <c r="F18" s="193">
        <f>SUM(I18-(I18*Capa!$C$1))</f>
        <v>28.23</v>
      </c>
      <c r="G18" s="7"/>
      <c r="H18" s="192">
        <v>29.72</v>
      </c>
      <c r="I18" s="193">
        <v>28.23</v>
      </c>
    </row>
    <row r="19" spans="1:9" s="8" customFormat="1" ht="15" customHeight="1" x14ac:dyDescent="0.2">
      <c r="A19" s="27">
        <v>15016</v>
      </c>
      <c r="B19" s="553" t="s">
        <v>618</v>
      </c>
      <c r="C19" s="553"/>
      <c r="D19" s="28">
        <v>3</v>
      </c>
      <c r="E19" s="357">
        <f>SUM(H19-(H19*Capa!$C$1))</f>
        <v>24.9</v>
      </c>
      <c r="F19" s="170">
        <f>SUM(I19-(I19*Capa!$C$1))</f>
        <v>23.65</v>
      </c>
      <c r="G19" s="7"/>
      <c r="H19" s="165">
        <v>24.9</v>
      </c>
      <c r="I19" s="170">
        <v>23.65</v>
      </c>
    </row>
    <row r="20" spans="1:9" s="8" customFormat="1" ht="15" customHeight="1" x14ac:dyDescent="0.2">
      <c r="A20" s="215">
        <v>15017</v>
      </c>
      <c r="B20" s="552" t="s">
        <v>545</v>
      </c>
      <c r="C20" s="552"/>
      <c r="D20" s="216">
        <v>3</v>
      </c>
      <c r="E20" s="217">
        <f>SUM(H20-(H20*Capa!$C$1))</f>
        <v>24.9</v>
      </c>
      <c r="F20" s="193">
        <f>SUM(I20-(I20*Capa!$C$1))</f>
        <v>23.65</v>
      </c>
      <c r="G20" s="7"/>
      <c r="H20" s="192">
        <v>24.9</v>
      </c>
      <c r="I20" s="193">
        <v>23.65</v>
      </c>
    </row>
    <row r="21" spans="1:9" s="8" customFormat="1" ht="15" customHeight="1" x14ac:dyDescent="0.2">
      <c r="A21" s="27">
        <v>15018</v>
      </c>
      <c r="B21" s="553" t="s">
        <v>619</v>
      </c>
      <c r="C21" s="553"/>
      <c r="D21" s="28">
        <v>2.9</v>
      </c>
      <c r="E21" s="357">
        <f>SUM(H21-(H21*Capa!$C$1))</f>
        <v>26.9</v>
      </c>
      <c r="F21" s="170">
        <f>SUM(I21-(I21*Capa!$C$1))</f>
        <v>25.55</v>
      </c>
      <c r="G21" s="7"/>
      <c r="H21" s="165">
        <v>26.9</v>
      </c>
      <c r="I21" s="170">
        <v>25.55</v>
      </c>
    </row>
    <row r="22" spans="1:9" s="8" customFormat="1" ht="15" customHeight="1" x14ac:dyDescent="0.2">
      <c r="A22" s="215">
        <v>15019</v>
      </c>
      <c r="B22" s="552" t="s">
        <v>610</v>
      </c>
      <c r="C22" s="552"/>
      <c r="D22" s="216">
        <v>3</v>
      </c>
      <c r="E22" s="217">
        <f>SUM(H22-(H22*Capa!$C$1))</f>
        <v>16.96</v>
      </c>
      <c r="F22" s="193">
        <f>SUM(I22-(I22*Capa!$C$1))</f>
        <v>16.149999999999999</v>
      </c>
      <c r="G22" s="7"/>
      <c r="H22" s="192">
        <v>16.96</v>
      </c>
      <c r="I22" s="193">
        <v>16.149999999999999</v>
      </c>
    </row>
    <row r="23" spans="1:9" s="8" customFormat="1" ht="15" customHeight="1" x14ac:dyDescent="0.2">
      <c r="A23" s="27">
        <v>15020</v>
      </c>
      <c r="B23" s="553" t="s">
        <v>123</v>
      </c>
      <c r="C23" s="553"/>
      <c r="D23" s="28">
        <v>1.4</v>
      </c>
      <c r="E23" s="357">
        <f>SUM(H23-(H23*Capa!$C$1))</f>
        <v>15.75</v>
      </c>
      <c r="F23" s="170">
        <f>SUM(I23-(I23*Capa!$C$1))</f>
        <v>14.96</v>
      </c>
      <c r="G23" s="7"/>
      <c r="H23" s="165">
        <v>15.75</v>
      </c>
      <c r="I23" s="170">
        <v>14.96</v>
      </c>
    </row>
    <row r="24" spans="1:9" s="8" customFormat="1" ht="15" customHeight="1" x14ac:dyDescent="0.2">
      <c r="A24" s="215">
        <v>15021</v>
      </c>
      <c r="B24" s="552" t="s">
        <v>546</v>
      </c>
      <c r="C24" s="552"/>
      <c r="D24" s="216">
        <v>1.4</v>
      </c>
      <c r="E24" s="217">
        <f>SUM(H24-(H24*Capa!$C$1))</f>
        <v>11.87</v>
      </c>
      <c r="F24" s="193">
        <f>SUM(I24-(I24*Capa!$C$1))</f>
        <v>11.28</v>
      </c>
      <c r="G24" s="7"/>
      <c r="H24" s="192">
        <v>11.87</v>
      </c>
      <c r="I24" s="193">
        <v>11.28</v>
      </c>
    </row>
    <row r="25" spans="1:9" s="8" customFormat="1" ht="15" customHeight="1" x14ac:dyDescent="0.2">
      <c r="A25" s="27">
        <v>15024</v>
      </c>
      <c r="B25" s="553" t="s">
        <v>977</v>
      </c>
      <c r="C25" s="553"/>
      <c r="D25" s="28">
        <v>3</v>
      </c>
      <c r="E25" s="357">
        <f>SUM(H25-(H25*Capa!$C$1))</f>
        <v>56.25</v>
      </c>
      <c r="F25" s="170">
        <f>SUM(I25-(I25*Capa!$C$1))</f>
        <v>53.57</v>
      </c>
      <c r="G25" s="7"/>
      <c r="H25" s="165">
        <v>56.25</v>
      </c>
      <c r="I25" s="170">
        <v>53.57</v>
      </c>
    </row>
    <row r="26" spans="1:9" s="8" customFormat="1" ht="15" customHeight="1" x14ac:dyDescent="0.2">
      <c r="A26" s="215">
        <v>15025</v>
      </c>
      <c r="B26" s="552" t="s">
        <v>986</v>
      </c>
      <c r="C26" s="552"/>
      <c r="D26" s="216">
        <v>2.8</v>
      </c>
      <c r="E26" s="217">
        <f>SUM(H26-(H26*Capa!$C$1))</f>
        <v>26.95</v>
      </c>
      <c r="F26" s="193">
        <f>SUM(I26-(I26*Capa!$C$1))</f>
        <v>25.6</v>
      </c>
      <c r="G26" s="7"/>
      <c r="H26" s="192">
        <v>26.95</v>
      </c>
      <c r="I26" s="193">
        <v>25.6</v>
      </c>
    </row>
    <row r="27" spans="1:9" s="8" customFormat="1" ht="15" customHeight="1" thickBot="1" x14ac:dyDescent="0.25">
      <c r="A27" s="158">
        <v>14021</v>
      </c>
      <c r="B27" s="569" t="s">
        <v>987</v>
      </c>
      <c r="C27" s="569"/>
      <c r="D27" s="361">
        <v>2.8</v>
      </c>
      <c r="E27" s="362">
        <f>SUM(H27-(H27*Capa!$C$1))</f>
        <v>33.049999999999997</v>
      </c>
      <c r="F27" s="356">
        <f>SUM(I27-(I27*Capa!$C$1))</f>
        <v>31.4</v>
      </c>
      <c r="G27" s="7"/>
      <c r="H27" s="363">
        <v>33.049999999999997</v>
      </c>
      <c r="I27" s="356">
        <v>31.4</v>
      </c>
    </row>
  </sheetData>
  <sheetProtection sheet="1" objects="1" scenarios="1"/>
  <mergeCells count="27">
    <mergeCell ref="B27:C27"/>
    <mergeCell ref="B6:C6"/>
    <mergeCell ref="A1:F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19:C19"/>
    <mergeCell ref="B20:C20"/>
    <mergeCell ref="B21:C21"/>
    <mergeCell ref="B22:C22"/>
    <mergeCell ref="B23:C23"/>
    <mergeCell ref="B24:C24"/>
  </mergeCells>
  <printOptions horizontalCentered="1"/>
  <pageMargins left="0.23622047244094491" right="0.23622047244094491" top="0.39370078740157483" bottom="0.19685039370078741" header="0.19685039370078741" footer="0"/>
  <pageSetup paperSize="9" fitToWidth="0" fitToHeight="0" orientation="portrait" r:id="rId1"/>
  <headerFooter>
    <oddFooter>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DE4A-9A77-41F6-A737-22151402E32C}">
  <dimension ref="A1:K20"/>
  <sheetViews>
    <sheetView showGridLines="0" showWhiteSpace="0" view="pageLayout" zoomScaleNormal="100" workbookViewId="0">
      <selection sqref="A1:F1"/>
    </sheetView>
  </sheetViews>
  <sheetFormatPr defaultRowHeight="12.75" x14ac:dyDescent="0.2"/>
  <cols>
    <col min="1" max="1" width="10.7109375" customWidth="1"/>
    <col min="2" max="2" width="45.7109375" customWidth="1"/>
    <col min="3" max="6" width="10.7109375" customWidth="1"/>
    <col min="8" max="9" width="12.7109375" style="22" hidden="1" customWidth="1"/>
  </cols>
  <sheetData>
    <row r="1" spans="1:11" ht="39.950000000000003" customHeight="1" thickBot="1" x14ac:dyDescent="0.25">
      <c r="A1" s="558" t="s">
        <v>988</v>
      </c>
      <c r="B1" s="559"/>
      <c r="C1" s="559"/>
      <c r="D1" s="559"/>
      <c r="E1" s="559"/>
      <c r="F1" s="560"/>
      <c r="G1" s="4"/>
      <c r="H1" s="49"/>
      <c r="I1" s="49"/>
    </row>
    <row r="2" spans="1:11" ht="15" customHeight="1" x14ac:dyDescent="0.2">
      <c r="A2" s="212" t="s">
        <v>132</v>
      </c>
      <c r="B2" s="562" t="s">
        <v>114</v>
      </c>
      <c r="C2" s="562"/>
      <c r="D2" s="213" t="s">
        <v>131</v>
      </c>
      <c r="E2" s="213" t="s">
        <v>345</v>
      </c>
      <c r="F2" s="214" t="s">
        <v>98</v>
      </c>
      <c r="G2" s="4"/>
      <c r="H2" s="25" t="s">
        <v>345</v>
      </c>
      <c r="I2" s="26" t="s">
        <v>98</v>
      </c>
    </row>
    <row r="3" spans="1:11" s="8" customFormat="1" ht="15" customHeight="1" x14ac:dyDescent="0.2">
      <c r="A3" s="27">
        <v>16000</v>
      </c>
      <c r="B3" s="553" t="s">
        <v>989</v>
      </c>
      <c r="C3" s="553"/>
      <c r="D3" s="28">
        <v>3</v>
      </c>
      <c r="E3" s="357">
        <f>SUM(H3-(H3*Capa!$C$1))</f>
        <v>21.48</v>
      </c>
      <c r="F3" s="170">
        <f>SUM(I3-(I3*Capa!$C$1))</f>
        <v>20.46</v>
      </c>
      <c r="G3" s="7"/>
      <c r="H3" s="165">
        <v>21.48</v>
      </c>
      <c r="I3" s="170">
        <v>20.46</v>
      </c>
    </row>
    <row r="4" spans="1:11" s="8" customFormat="1" ht="15" customHeight="1" x14ac:dyDescent="0.2">
      <c r="A4" s="215">
        <v>16001</v>
      </c>
      <c r="B4" s="552" t="s">
        <v>990</v>
      </c>
      <c r="C4" s="552"/>
      <c r="D4" s="216">
        <v>3</v>
      </c>
      <c r="E4" s="217">
        <f>SUM(H4-(H4*Capa!$C$1))</f>
        <v>21.48</v>
      </c>
      <c r="F4" s="193">
        <f>SUM(I4-(I4*Capa!$C$1))</f>
        <v>20.46</v>
      </c>
      <c r="G4" s="7"/>
      <c r="H4" s="192">
        <v>21.48</v>
      </c>
      <c r="I4" s="193">
        <v>20.46</v>
      </c>
    </row>
    <row r="5" spans="1:11" s="8" customFormat="1" ht="15" customHeight="1" x14ac:dyDescent="0.2">
      <c r="A5" s="27">
        <v>16002</v>
      </c>
      <c r="B5" s="553" t="s">
        <v>554</v>
      </c>
      <c r="C5" s="553"/>
      <c r="D5" s="28">
        <v>3</v>
      </c>
      <c r="E5" s="357">
        <f>SUM(H5-(H5*Capa!$C$1))</f>
        <v>16.96</v>
      </c>
      <c r="F5" s="170">
        <f>SUM(I5-(I5*Capa!$C$1))</f>
        <v>16.149999999999999</v>
      </c>
      <c r="G5" s="7"/>
      <c r="H5" s="165">
        <v>16.96</v>
      </c>
      <c r="I5" s="170">
        <v>16.149999999999999</v>
      </c>
    </row>
    <row r="6" spans="1:11" s="8" customFormat="1" ht="15" customHeight="1" x14ac:dyDescent="0.2">
      <c r="A6" s="215">
        <v>16003</v>
      </c>
      <c r="B6" s="552" t="s">
        <v>553</v>
      </c>
      <c r="C6" s="552"/>
      <c r="D6" s="216">
        <v>2.8</v>
      </c>
      <c r="E6" s="217">
        <f>SUM(H6-(H6*Capa!$C$1))</f>
        <v>31.49</v>
      </c>
      <c r="F6" s="193">
        <f>SUM(I6-(I6*Capa!$C$1))</f>
        <v>29.99</v>
      </c>
      <c r="G6" s="7"/>
      <c r="H6" s="192">
        <v>31.49</v>
      </c>
      <c r="I6" s="193">
        <v>29.99</v>
      </c>
    </row>
    <row r="7" spans="1:11" s="8" customFormat="1" ht="15" customHeight="1" x14ac:dyDescent="0.2">
      <c r="A7" s="27">
        <v>16004</v>
      </c>
      <c r="B7" s="553" t="s">
        <v>555</v>
      </c>
      <c r="C7" s="553"/>
      <c r="D7" s="28">
        <v>2.8</v>
      </c>
      <c r="E7" s="357">
        <f>SUM(H7-(H7*Capa!$C$1))</f>
        <v>36.19</v>
      </c>
      <c r="F7" s="170">
        <f>SUM(I7-(I7*Capa!$C$1))</f>
        <v>34.380000000000003</v>
      </c>
      <c r="G7" s="7"/>
      <c r="H7" s="165">
        <v>36.19</v>
      </c>
      <c r="I7" s="170">
        <v>34.380000000000003</v>
      </c>
    </row>
    <row r="8" spans="1:11" s="8" customFormat="1" ht="15" customHeight="1" x14ac:dyDescent="0.2">
      <c r="A8" s="215">
        <v>16005</v>
      </c>
      <c r="B8" s="552" t="s">
        <v>991</v>
      </c>
      <c r="C8" s="552"/>
      <c r="D8" s="216">
        <v>3</v>
      </c>
      <c r="E8" s="217">
        <f>SUM(H8-(H8*Capa!$C$1))</f>
        <v>19.920000000000002</v>
      </c>
      <c r="F8" s="193">
        <f>SUM(I8-(I8*Capa!$C$1))</f>
        <v>18.97</v>
      </c>
      <c r="G8" s="7"/>
      <c r="H8" s="192">
        <v>19.920000000000002</v>
      </c>
      <c r="I8" s="193">
        <v>18.97</v>
      </c>
    </row>
    <row r="9" spans="1:11" s="8" customFormat="1" ht="15" customHeight="1" x14ac:dyDescent="0.2">
      <c r="A9" s="27">
        <v>16006</v>
      </c>
      <c r="B9" s="553" t="s">
        <v>552</v>
      </c>
      <c r="C9" s="553"/>
      <c r="D9" s="28">
        <v>3</v>
      </c>
      <c r="E9" s="357">
        <f>SUM(H9-(H9*Capa!$C$1))</f>
        <v>33.46</v>
      </c>
      <c r="F9" s="170">
        <f>SUM(I9-(I9*Capa!$C$1))</f>
        <v>31.78</v>
      </c>
      <c r="G9" s="7"/>
      <c r="H9" s="165">
        <v>33.46</v>
      </c>
      <c r="I9" s="170">
        <v>31.78</v>
      </c>
      <c r="K9" s="9"/>
    </row>
    <row r="10" spans="1:11" s="8" customFormat="1" ht="15" customHeight="1" x14ac:dyDescent="0.2">
      <c r="A10" s="215">
        <v>16007</v>
      </c>
      <c r="B10" s="552" t="s">
        <v>556</v>
      </c>
      <c r="C10" s="552"/>
      <c r="D10" s="216">
        <v>3</v>
      </c>
      <c r="E10" s="217">
        <f>SUM(H10-(H10*Capa!$C$1))</f>
        <v>22.8</v>
      </c>
      <c r="F10" s="193">
        <f>SUM(I10-(I10*Capa!$C$1))</f>
        <v>21.71</v>
      </c>
      <c r="G10" s="7"/>
      <c r="H10" s="192">
        <v>22.8</v>
      </c>
      <c r="I10" s="193">
        <v>21.71</v>
      </c>
    </row>
    <row r="11" spans="1:11" s="8" customFormat="1" ht="15" customHeight="1" x14ac:dyDescent="0.2">
      <c r="A11" s="27">
        <v>16008</v>
      </c>
      <c r="B11" s="553" t="s">
        <v>551</v>
      </c>
      <c r="C11" s="553"/>
      <c r="D11" s="28">
        <v>2.5</v>
      </c>
      <c r="E11" s="357">
        <f>SUM(H11-(H11*Capa!$C$1))</f>
        <v>39.200000000000003</v>
      </c>
      <c r="F11" s="170">
        <f>SUM(I11-(I11*Capa!$C$1))</f>
        <v>37.24</v>
      </c>
      <c r="G11" s="7"/>
      <c r="H11" s="165">
        <v>39.200000000000003</v>
      </c>
      <c r="I11" s="170">
        <v>37.24</v>
      </c>
    </row>
    <row r="12" spans="1:11" s="8" customFormat="1" ht="15" customHeight="1" x14ac:dyDescent="0.2">
      <c r="A12" s="215">
        <v>16009</v>
      </c>
      <c r="B12" s="552" t="s">
        <v>547</v>
      </c>
      <c r="C12" s="552"/>
      <c r="D12" s="216">
        <v>2.8</v>
      </c>
      <c r="E12" s="217">
        <f>SUM(H12-(H12*Capa!$C$1))</f>
        <v>33.270000000000003</v>
      </c>
      <c r="F12" s="193">
        <f>SUM(I12-(I12*Capa!$C$1))</f>
        <v>32.590000000000003</v>
      </c>
      <c r="G12" s="7"/>
      <c r="H12" s="192">
        <v>33.270000000000003</v>
      </c>
      <c r="I12" s="193">
        <v>32.590000000000003</v>
      </c>
    </row>
    <row r="13" spans="1:11" s="8" customFormat="1" ht="15" customHeight="1" x14ac:dyDescent="0.2">
      <c r="A13" s="27">
        <v>16010</v>
      </c>
      <c r="B13" s="553" t="s">
        <v>992</v>
      </c>
      <c r="C13" s="553"/>
      <c r="D13" s="28">
        <v>2.8</v>
      </c>
      <c r="E13" s="357">
        <f>SUM(H13-(H13*Capa!$C$1))</f>
        <v>35.97</v>
      </c>
      <c r="F13" s="170">
        <f>SUM(I13-(I13*Capa!$C$1))</f>
        <v>34.17</v>
      </c>
      <c r="G13" s="7"/>
      <c r="H13" s="165">
        <v>35.97</v>
      </c>
      <c r="I13" s="170">
        <v>34.17</v>
      </c>
    </row>
    <row r="14" spans="1:11" s="8" customFormat="1" ht="15" customHeight="1" x14ac:dyDescent="0.2">
      <c r="A14" s="215">
        <v>16011</v>
      </c>
      <c r="B14" s="552" t="s">
        <v>993</v>
      </c>
      <c r="C14" s="552"/>
      <c r="D14" s="216">
        <v>2.8</v>
      </c>
      <c r="E14" s="217">
        <f>SUM(H14-(H14*Capa!$C$1))</f>
        <v>35.97</v>
      </c>
      <c r="F14" s="193">
        <f>SUM(I14-(I14*Capa!$C$1))</f>
        <v>34.17</v>
      </c>
      <c r="G14" s="7"/>
      <c r="H14" s="192">
        <v>35.97</v>
      </c>
      <c r="I14" s="193">
        <v>34.17</v>
      </c>
    </row>
    <row r="15" spans="1:11" s="8" customFormat="1" ht="15" customHeight="1" x14ac:dyDescent="0.2">
      <c r="A15" s="27">
        <v>16012</v>
      </c>
      <c r="B15" s="553" t="s">
        <v>558</v>
      </c>
      <c r="C15" s="553"/>
      <c r="D15" s="28">
        <v>2.8</v>
      </c>
      <c r="E15" s="357">
        <f>SUM(H15-(H15*Capa!$C$1))</f>
        <v>35.97</v>
      </c>
      <c r="F15" s="170">
        <f>SUM(I15-(I15*Capa!$C$1))</f>
        <v>34.17</v>
      </c>
      <c r="G15" s="7"/>
      <c r="H15" s="165">
        <v>35.97</v>
      </c>
      <c r="I15" s="170">
        <v>34.17</v>
      </c>
    </row>
    <row r="16" spans="1:11" s="8" customFormat="1" ht="15" customHeight="1" x14ac:dyDescent="0.2">
      <c r="A16" s="215">
        <v>16013</v>
      </c>
      <c r="B16" s="552" t="s">
        <v>994</v>
      </c>
      <c r="C16" s="552"/>
      <c r="D16" s="216">
        <v>2.8</v>
      </c>
      <c r="E16" s="217">
        <f>SUM(H16-(H16*Capa!$C$1))</f>
        <v>35.97</v>
      </c>
      <c r="F16" s="193">
        <f>SUM(I16-(I16*Capa!$C$1))</f>
        <v>34.17</v>
      </c>
      <c r="G16" s="7"/>
      <c r="H16" s="192">
        <v>35.97</v>
      </c>
      <c r="I16" s="193">
        <v>34.17</v>
      </c>
    </row>
    <row r="17" spans="1:9" s="8" customFormat="1" ht="15" customHeight="1" x14ac:dyDescent="0.2">
      <c r="A17" s="27">
        <v>16014</v>
      </c>
      <c r="B17" s="553" t="s">
        <v>995</v>
      </c>
      <c r="C17" s="553"/>
      <c r="D17" s="28">
        <v>2.8</v>
      </c>
      <c r="E17" s="357">
        <f>SUM(H17-(H17*Capa!$C$1))</f>
        <v>35.97</v>
      </c>
      <c r="F17" s="170">
        <f>SUM(I17-(I17*Capa!$C$1))</f>
        <v>34.17</v>
      </c>
      <c r="G17" s="7"/>
      <c r="H17" s="165">
        <v>35.97</v>
      </c>
      <c r="I17" s="170">
        <v>34.17</v>
      </c>
    </row>
    <row r="18" spans="1:9" s="8" customFormat="1" ht="15" customHeight="1" x14ac:dyDescent="0.2">
      <c r="A18" s="215">
        <v>16015</v>
      </c>
      <c r="B18" s="552" t="s">
        <v>559</v>
      </c>
      <c r="C18" s="552"/>
      <c r="D18" s="216">
        <v>2.8</v>
      </c>
      <c r="E18" s="217">
        <f>SUM(H18-(H18*Capa!$C$1))</f>
        <v>35.97</v>
      </c>
      <c r="F18" s="193">
        <f>SUM(I18-(I18*Capa!$C$1))</f>
        <v>34.17</v>
      </c>
      <c r="G18" s="7"/>
      <c r="H18" s="192">
        <v>35.97</v>
      </c>
      <c r="I18" s="193">
        <v>34.17</v>
      </c>
    </row>
    <row r="19" spans="1:9" s="8" customFormat="1" ht="15" customHeight="1" x14ac:dyDescent="0.2">
      <c r="A19" s="27">
        <v>16016</v>
      </c>
      <c r="B19" s="553" t="s">
        <v>996</v>
      </c>
      <c r="C19" s="553"/>
      <c r="D19" s="28">
        <v>2.8</v>
      </c>
      <c r="E19" s="357">
        <f>SUM(H19-(H19*Capa!$C$1))</f>
        <v>35.97</v>
      </c>
      <c r="F19" s="170">
        <f>SUM(I19-(I19*Capa!$C$1))</f>
        <v>34.17</v>
      </c>
      <c r="G19" s="7"/>
      <c r="H19" s="165">
        <v>35.97</v>
      </c>
      <c r="I19" s="170">
        <v>34.17</v>
      </c>
    </row>
    <row r="20" spans="1:9" s="8" customFormat="1" ht="15" customHeight="1" thickBot="1" x14ac:dyDescent="0.25">
      <c r="A20" s="220">
        <v>16017</v>
      </c>
      <c r="B20" s="564" t="s">
        <v>560</v>
      </c>
      <c r="C20" s="564"/>
      <c r="D20" s="221">
        <v>2.8</v>
      </c>
      <c r="E20" s="222">
        <f>SUM(H20-(H20*Capa!$C$1))</f>
        <v>35.97</v>
      </c>
      <c r="F20" s="219">
        <f>SUM(I20-(I20*Capa!$C$1))</f>
        <v>34.17</v>
      </c>
      <c r="G20" s="7"/>
      <c r="H20" s="218">
        <v>35.97</v>
      </c>
      <c r="I20" s="219">
        <v>34.17</v>
      </c>
    </row>
  </sheetData>
  <sheetProtection sheet="1" objects="1" scenarios="1"/>
  <mergeCells count="20">
    <mergeCell ref="B11:C11"/>
    <mergeCell ref="A1:F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8:C18"/>
    <mergeCell ref="B19:C19"/>
    <mergeCell ref="B20:C20"/>
    <mergeCell ref="B12:C12"/>
    <mergeCell ref="B13:C13"/>
    <mergeCell ref="B14:C14"/>
    <mergeCell ref="B15:C15"/>
    <mergeCell ref="B16:C16"/>
    <mergeCell ref="B17:C17"/>
  </mergeCells>
  <printOptions horizontalCentered="1"/>
  <pageMargins left="0.23622047244094491" right="0.23622047244094491" top="0.39370078740157483" bottom="0.19685039370078741" header="0.19685039370078741" footer="0"/>
  <pageSetup paperSize="9" fitToWidth="0" fitToHeight="0" orientation="portrait" r:id="rId1"/>
  <headerFooter>
    <oddFooter>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0C5A-FAE8-4E1B-9E67-FCF392437035}">
  <dimension ref="A1:IJ53"/>
  <sheetViews>
    <sheetView showGridLines="0" showWhiteSpace="0" view="pageLayout" zoomScale="90" zoomScaleNormal="100" zoomScalePageLayoutView="90" workbookViewId="0">
      <selection sqref="A1:C1"/>
    </sheetView>
  </sheetViews>
  <sheetFormatPr defaultColWidth="1.5703125" defaultRowHeight="12.75" x14ac:dyDescent="0.2"/>
  <cols>
    <col min="1" max="1" width="41" style="49" customWidth="1"/>
    <col min="2" max="2" width="18" style="228" customWidth="1"/>
    <col min="3" max="3" width="10.140625" style="228" customWidth="1"/>
    <col min="4" max="8" width="10.140625" style="49" customWidth="1"/>
    <col min="9" max="9" width="15" style="49" customWidth="1"/>
    <col min="10" max="13" width="13.7109375" style="49" hidden="1" customWidth="1"/>
    <col min="14" max="271" width="9.140625" style="49" customWidth="1"/>
    <col min="272" max="16384" width="1.5703125" style="49"/>
  </cols>
  <sheetData>
    <row r="1" spans="1:13" ht="117" customHeight="1" x14ac:dyDescent="0.2">
      <c r="A1" s="576"/>
      <c r="B1" s="577"/>
      <c r="C1" s="577"/>
      <c r="D1" s="577"/>
      <c r="E1" s="577"/>
      <c r="F1" s="577"/>
      <c r="G1" s="577"/>
      <c r="H1" s="578"/>
    </row>
    <row r="2" spans="1:13" s="145" customFormat="1" ht="18.600000000000001" customHeight="1" x14ac:dyDescent="0.35">
      <c r="A2" s="579" t="s">
        <v>854</v>
      </c>
      <c r="B2" s="580"/>
      <c r="C2" s="580"/>
      <c r="D2" s="580"/>
      <c r="E2" s="580"/>
      <c r="F2" s="580"/>
      <c r="G2" s="580"/>
      <c r="H2" s="581"/>
      <c r="I2" s="470"/>
    </row>
    <row r="3" spans="1:13" s="145" customFormat="1" ht="18.600000000000001" customHeight="1" x14ac:dyDescent="0.35">
      <c r="A3" s="579" t="s">
        <v>848</v>
      </c>
      <c r="B3" s="580"/>
      <c r="C3" s="580"/>
      <c r="D3" s="580"/>
      <c r="E3" s="580"/>
      <c r="F3" s="580"/>
      <c r="G3" s="580"/>
      <c r="H3" s="581"/>
      <c r="I3" s="470"/>
    </row>
    <row r="4" spans="1:13" s="488" customFormat="1" ht="14.1" customHeight="1" x14ac:dyDescent="0.2">
      <c r="A4" s="582" t="s">
        <v>849</v>
      </c>
      <c r="B4" s="583"/>
      <c r="C4" s="583"/>
      <c r="D4" s="583"/>
      <c r="E4" s="583"/>
      <c r="F4" s="583"/>
      <c r="G4" s="583"/>
      <c r="H4" s="584"/>
      <c r="I4" s="487"/>
    </row>
    <row r="5" spans="1:13" s="488" customFormat="1" ht="14.1" customHeight="1" x14ac:dyDescent="0.2">
      <c r="A5" s="582" t="s">
        <v>782</v>
      </c>
      <c r="B5" s="583"/>
      <c r="C5" s="583"/>
      <c r="D5" s="583"/>
      <c r="E5" s="583"/>
      <c r="F5" s="583"/>
      <c r="G5" s="583"/>
      <c r="H5" s="584"/>
      <c r="I5" s="487"/>
    </row>
    <row r="6" spans="1:13" s="488" customFormat="1" ht="14.1" customHeight="1" thickBot="1" x14ac:dyDescent="0.25">
      <c r="A6" s="582" t="s">
        <v>783</v>
      </c>
      <c r="B6" s="583"/>
      <c r="C6" s="583"/>
      <c r="D6" s="583"/>
      <c r="E6" s="583"/>
      <c r="F6" s="583"/>
      <c r="G6" s="583"/>
      <c r="H6" s="584"/>
      <c r="I6" s="487"/>
    </row>
    <row r="7" spans="1:13" s="210" customFormat="1" ht="14.1" customHeight="1" x14ac:dyDescent="0.2">
      <c r="A7" s="498" t="s">
        <v>791</v>
      </c>
      <c r="B7" s="196" t="s">
        <v>435</v>
      </c>
      <c r="C7" s="587" t="s">
        <v>436</v>
      </c>
      <c r="D7" s="587"/>
      <c r="E7" s="587" t="s">
        <v>784</v>
      </c>
      <c r="F7" s="587"/>
      <c r="G7" s="536" t="s">
        <v>785</v>
      </c>
      <c r="H7" s="588"/>
      <c r="J7" s="207" t="s">
        <v>435</v>
      </c>
      <c r="K7" s="493" t="s">
        <v>436</v>
      </c>
      <c r="L7" s="493" t="s">
        <v>727</v>
      </c>
      <c r="M7" s="468" t="s">
        <v>780</v>
      </c>
    </row>
    <row r="8" spans="1:13" s="488" customFormat="1" ht="14.1" customHeight="1" x14ac:dyDescent="0.2">
      <c r="A8" s="585" t="s">
        <v>853</v>
      </c>
      <c r="B8" s="496" t="s">
        <v>329</v>
      </c>
      <c r="C8" s="589">
        <f>SUM(K8-(K8*Capa!$C$1))</f>
        <v>1020.83</v>
      </c>
      <c r="D8" s="589"/>
      <c r="E8" s="589">
        <f>SUM(L8-(L8*Capa!$C$1))</f>
        <v>1043.48</v>
      </c>
      <c r="F8" s="589"/>
      <c r="G8" s="589">
        <f>SUM(M8-(M8*Capa!$C$1))</f>
        <v>1048.02</v>
      </c>
      <c r="H8" s="591"/>
      <c r="J8" s="489" t="s">
        <v>329</v>
      </c>
      <c r="K8" s="494">
        <v>1020.83</v>
      </c>
      <c r="L8" s="494">
        <v>1043.48</v>
      </c>
      <c r="M8" s="490">
        <v>1048.02</v>
      </c>
    </row>
    <row r="9" spans="1:13" s="488" customFormat="1" ht="14.1" customHeight="1" x14ac:dyDescent="0.2">
      <c r="A9" s="586"/>
      <c r="B9" s="497" t="s">
        <v>827</v>
      </c>
      <c r="C9" s="575">
        <f>SUM(K9-(K9*Capa!$C$1))</f>
        <v>1086.3699999999999</v>
      </c>
      <c r="D9" s="575"/>
      <c r="E9" s="575">
        <f>SUM(L9-(L9*Capa!$C$1))</f>
        <v>1098.8599999999999</v>
      </c>
      <c r="F9" s="575"/>
      <c r="G9" s="575">
        <f>SUM(M9-(M9*Capa!$C$1))</f>
        <v>1124.75</v>
      </c>
      <c r="H9" s="590"/>
      <c r="J9" s="491" t="s">
        <v>827</v>
      </c>
      <c r="K9" s="495">
        <v>1086.3699999999999</v>
      </c>
      <c r="L9" s="495">
        <v>1098.8599999999999</v>
      </c>
      <c r="M9" s="492">
        <v>1124.75</v>
      </c>
    </row>
    <row r="10" spans="1:13" s="488" customFormat="1" ht="14.1" customHeight="1" x14ac:dyDescent="0.2">
      <c r="A10" s="586"/>
      <c r="B10" s="496" t="s">
        <v>828</v>
      </c>
      <c r="C10" s="589">
        <f>SUM(K10-(K10*Capa!$C$1))</f>
        <v>1151.9100000000001</v>
      </c>
      <c r="D10" s="589"/>
      <c r="E10" s="589">
        <f>SUM(L10-(L10*Capa!$C$1))</f>
        <v>1154.25</v>
      </c>
      <c r="F10" s="589"/>
      <c r="G10" s="589">
        <f>SUM(M10-(M10*Capa!$C$1))</f>
        <v>1201.49</v>
      </c>
      <c r="H10" s="591"/>
      <c r="J10" s="489" t="s">
        <v>828</v>
      </c>
      <c r="K10" s="494">
        <v>1151.9100000000001</v>
      </c>
      <c r="L10" s="494">
        <v>1154.25</v>
      </c>
      <c r="M10" s="490">
        <v>1201.49</v>
      </c>
    </row>
    <row r="11" spans="1:13" s="488" customFormat="1" ht="14.1" customHeight="1" x14ac:dyDescent="0.2">
      <c r="A11" s="586"/>
      <c r="B11" s="497" t="s">
        <v>829</v>
      </c>
      <c r="C11" s="575">
        <f>SUM(K11-(K11*Capa!$C$1))</f>
        <v>1158.78</v>
      </c>
      <c r="D11" s="575"/>
      <c r="E11" s="575">
        <f>SUM(L11-(L11*Capa!$C$1))</f>
        <v>1189.6300000000001</v>
      </c>
      <c r="F11" s="575"/>
      <c r="G11" s="575">
        <f>SUM(M11-(M11*Capa!$C$1))</f>
        <v>1260.99</v>
      </c>
      <c r="H11" s="590"/>
      <c r="J11" s="491" t="s">
        <v>829</v>
      </c>
      <c r="K11" s="495">
        <v>1158.78</v>
      </c>
      <c r="L11" s="495">
        <v>1189.6300000000001</v>
      </c>
      <c r="M11" s="492">
        <v>1260.99</v>
      </c>
    </row>
    <row r="12" spans="1:13" s="488" customFormat="1" ht="14.1" customHeight="1" x14ac:dyDescent="0.2">
      <c r="A12" s="586"/>
      <c r="B12" s="496" t="s">
        <v>830</v>
      </c>
      <c r="C12" s="589">
        <f>SUM(K12-(K12*Capa!$C$1))</f>
        <v>1207.05</v>
      </c>
      <c r="D12" s="589"/>
      <c r="E12" s="589">
        <f>SUM(L12-(L12*Capa!$C$1))</f>
        <v>1245.02</v>
      </c>
      <c r="F12" s="589"/>
      <c r="G12" s="589">
        <f>SUM(M12-(M12*Capa!$C$1))</f>
        <v>1320.5</v>
      </c>
      <c r="H12" s="591"/>
      <c r="J12" s="489" t="s">
        <v>830</v>
      </c>
      <c r="K12" s="494">
        <v>1207.05</v>
      </c>
      <c r="L12" s="494">
        <v>1245.02</v>
      </c>
      <c r="M12" s="490">
        <v>1320.5</v>
      </c>
    </row>
    <row r="13" spans="1:13" s="488" customFormat="1" ht="14.1" customHeight="1" x14ac:dyDescent="0.2">
      <c r="A13" s="586"/>
      <c r="B13" s="497" t="s">
        <v>831</v>
      </c>
      <c r="C13" s="575">
        <f>SUM(K13-(K13*Capa!$C$1))</f>
        <v>1251.07</v>
      </c>
      <c r="D13" s="575"/>
      <c r="E13" s="575">
        <f>SUM(L13-(L13*Capa!$C$1))</f>
        <v>1290.08</v>
      </c>
      <c r="F13" s="575"/>
      <c r="G13" s="575">
        <f>SUM(M13-(M13*Capa!$C$1))</f>
        <v>1374.87</v>
      </c>
      <c r="H13" s="590"/>
      <c r="J13" s="491" t="s">
        <v>831</v>
      </c>
      <c r="K13" s="495">
        <v>1251.07</v>
      </c>
      <c r="L13" s="495">
        <v>1290.08</v>
      </c>
      <c r="M13" s="492">
        <v>1374.87</v>
      </c>
    </row>
    <row r="14" spans="1:13" s="488" customFormat="1" ht="14.1" customHeight="1" x14ac:dyDescent="0.2">
      <c r="A14" s="586"/>
      <c r="B14" s="496" t="s">
        <v>832</v>
      </c>
      <c r="C14" s="589">
        <f>SUM(K14-(K14*Capa!$C$1))</f>
        <v>1295.0899999999999</v>
      </c>
      <c r="D14" s="589"/>
      <c r="E14" s="589">
        <f>SUM(L14-(L14*Capa!$C$1))</f>
        <v>1335.15</v>
      </c>
      <c r="F14" s="589"/>
      <c r="G14" s="589">
        <f>SUM(M14-(M14*Capa!$C$1))</f>
        <v>1429.25</v>
      </c>
      <c r="H14" s="591"/>
      <c r="J14" s="489" t="s">
        <v>832</v>
      </c>
      <c r="K14" s="494">
        <v>1295.0899999999999</v>
      </c>
      <c r="L14" s="494">
        <v>1335.15</v>
      </c>
      <c r="M14" s="490">
        <v>1429.25</v>
      </c>
    </row>
    <row r="15" spans="1:13" s="488" customFormat="1" ht="14.1" customHeight="1" x14ac:dyDescent="0.2">
      <c r="A15" s="586"/>
      <c r="B15" s="497" t="s">
        <v>833</v>
      </c>
      <c r="C15" s="575">
        <f>SUM(K15-(K15*Capa!$C$1))</f>
        <v>1346.96</v>
      </c>
      <c r="D15" s="575"/>
      <c r="E15" s="575">
        <f>SUM(L15-(L15*Capa!$C$1))</f>
        <v>1388.62</v>
      </c>
      <c r="F15" s="575"/>
      <c r="G15" s="575">
        <f>SUM(M15-(M15*Capa!$C$1))</f>
        <v>1491.67</v>
      </c>
      <c r="H15" s="590"/>
      <c r="J15" s="491" t="s">
        <v>833</v>
      </c>
      <c r="K15" s="495">
        <v>1346.96</v>
      </c>
      <c r="L15" s="495">
        <v>1388.62</v>
      </c>
      <c r="M15" s="492">
        <v>1491.67</v>
      </c>
    </row>
    <row r="16" spans="1:13" s="488" customFormat="1" ht="14.1" customHeight="1" x14ac:dyDescent="0.2">
      <c r="A16" s="586"/>
      <c r="B16" s="496" t="s">
        <v>834</v>
      </c>
      <c r="C16" s="589">
        <f>SUM(K16-(K16*Capa!$C$1))</f>
        <v>1394.95</v>
      </c>
      <c r="D16" s="589"/>
      <c r="E16" s="589">
        <f>SUM(L16-(L16*Capa!$C$1))</f>
        <v>1438.1</v>
      </c>
      <c r="F16" s="589"/>
      <c r="G16" s="589">
        <f>SUM(M16-(M16*Capa!$C$1))</f>
        <v>1554.1</v>
      </c>
      <c r="H16" s="591"/>
      <c r="J16" s="489" t="s">
        <v>834</v>
      </c>
      <c r="K16" s="494">
        <v>1394.95</v>
      </c>
      <c r="L16" s="494">
        <v>1438.1</v>
      </c>
      <c r="M16" s="490">
        <v>1554.1</v>
      </c>
    </row>
    <row r="17" spans="1:13" s="488" customFormat="1" ht="14.1" customHeight="1" x14ac:dyDescent="0.2">
      <c r="A17" s="586"/>
      <c r="B17" s="497" t="s">
        <v>835</v>
      </c>
      <c r="C17" s="575">
        <f>SUM(K17-(K17*Capa!$C$1))</f>
        <v>1493.58</v>
      </c>
      <c r="D17" s="575"/>
      <c r="E17" s="575">
        <f>SUM(L17-(L17*Capa!$C$1))</f>
        <v>1524.07</v>
      </c>
      <c r="F17" s="575"/>
      <c r="G17" s="575">
        <f>SUM(M17-(M17*Capa!$C$1))</f>
        <v>1615.42</v>
      </c>
      <c r="H17" s="590"/>
      <c r="J17" s="491" t="s">
        <v>835</v>
      </c>
      <c r="K17" s="495">
        <v>1493.58</v>
      </c>
      <c r="L17" s="495">
        <v>1524.07</v>
      </c>
      <c r="M17" s="492">
        <v>1615.42</v>
      </c>
    </row>
    <row r="18" spans="1:13" s="488" customFormat="1" ht="14.1" customHeight="1" x14ac:dyDescent="0.2">
      <c r="A18" s="586"/>
      <c r="B18" s="496" t="s">
        <v>836</v>
      </c>
      <c r="C18" s="589">
        <f>SUM(K18-(K18*Capa!$C$1))</f>
        <v>1577.8</v>
      </c>
      <c r="D18" s="589"/>
      <c r="E18" s="589">
        <f>SUM(L18-(L18*Capa!$C$1))</f>
        <v>1610.05</v>
      </c>
      <c r="F18" s="589"/>
      <c r="G18" s="589">
        <f>SUM(M18-(M18*Capa!$C$1))</f>
        <v>1674.75</v>
      </c>
      <c r="H18" s="591"/>
      <c r="J18" s="489" t="s">
        <v>836</v>
      </c>
      <c r="K18" s="494">
        <v>1577.8</v>
      </c>
      <c r="L18" s="494">
        <v>1610.05</v>
      </c>
      <c r="M18" s="490">
        <v>1674.75</v>
      </c>
    </row>
    <row r="19" spans="1:13" s="488" customFormat="1" ht="14.1" customHeight="1" x14ac:dyDescent="0.2">
      <c r="A19" s="586"/>
      <c r="B19" s="497" t="s">
        <v>837</v>
      </c>
      <c r="C19" s="575">
        <f>SUM(K19-(K19*Capa!$C$1))</f>
        <v>1648.86</v>
      </c>
      <c r="D19" s="575"/>
      <c r="E19" s="575">
        <f>SUM(L19-(L19*Capa!$C$1))</f>
        <v>1682.52</v>
      </c>
      <c r="F19" s="575"/>
      <c r="G19" s="575">
        <f>SUM(M19-(M19*Capa!$C$1))</f>
        <v>1755.02</v>
      </c>
      <c r="H19" s="590"/>
      <c r="J19" s="491" t="s">
        <v>837</v>
      </c>
      <c r="K19" s="495">
        <v>1648.86</v>
      </c>
      <c r="L19" s="495">
        <v>1682.52</v>
      </c>
      <c r="M19" s="492">
        <v>1755.02</v>
      </c>
    </row>
    <row r="20" spans="1:13" s="488" customFormat="1" ht="14.1" customHeight="1" x14ac:dyDescent="0.2">
      <c r="A20" s="586"/>
      <c r="B20" s="496" t="s">
        <v>838</v>
      </c>
      <c r="C20" s="589">
        <f>SUM(K20-(K20*Capa!$C$1))</f>
        <v>1719.9</v>
      </c>
      <c r="D20" s="589"/>
      <c r="E20" s="589">
        <f>SUM(L20-(L20*Capa!$C$1))</f>
        <v>1755</v>
      </c>
      <c r="F20" s="589"/>
      <c r="G20" s="589">
        <f>SUM(M20-(M20*Capa!$C$1))</f>
        <v>1835.3</v>
      </c>
      <c r="H20" s="591"/>
      <c r="J20" s="489" t="s">
        <v>838</v>
      </c>
      <c r="K20" s="494">
        <v>1719.9</v>
      </c>
      <c r="L20" s="494">
        <v>1755</v>
      </c>
      <c r="M20" s="490">
        <v>1835.3</v>
      </c>
    </row>
    <row r="21" spans="1:13" s="488" customFormat="1" ht="14.1" customHeight="1" x14ac:dyDescent="0.2">
      <c r="A21" s="586"/>
      <c r="B21" s="497" t="s">
        <v>839</v>
      </c>
      <c r="C21" s="575">
        <f>SUM(K21-(K21*Capa!$C$1))</f>
        <v>1747.59</v>
      </c>
      <c r="D21" s="575"/>
      <c r="E21" s="575">
        <f>SUM(L21-(L21*Capa!$C$1))</f>
        <v>1783.26</v>
      </c>
      <c r="F21" s="575"/>
      <c r="G21" s="575">
        <f>SUM(M21-(M21*Capa!$C$1))</f>
        <v>1863</v>
      </c>
      <c r="H21" s="590"/>
      <c r="J21" s="491" t="s">
        <v>839</v>
      </c>
      <c r="K21" s="495">
        <v>1747.59</v>
      </c>
      <c r="L21" s="495">
        <v>1783.26</v>
      </c>
      <c r="M21" s="492">
        <v>1863</v>
      </c>
    </row>
    <row r="22" spans="1:13" s="488" customFormat="1" ht="14.1" customHeight="1" x14ac:dyDescent="0.2">
      <c r="A22" s="586"/>
      <c r="B22" s="496" t="s">
        <v>840</v>
      </c>
      <c r="C22" s="589">
        <f>SUM(K22-(K22*Capa!$C$1))</f>
        <v>1775.28</v>
      </c>
      <c r="D22" s="589"/>
      <c r="E22" s="589">
        <f>SUM(L22-(L22*Capa!$C$1))</f>
        <v>1811.52</v>
      </c>
      <c r="F22" s="589"/>
      <c r="G22" s="589">
        <f>SUM(M22-(M22*Capa!$C$1))</f>
        <v>1891</v>
      </c>
      <c r="H22" s="591"/>
      <c r="J22" s="489" t="s">
        <v>840</v>
      </c>
      <c r="K22" s="494">
        <v>1775.28</v>
      </c>
      <c r="L22" s="494">
        <v>1811.52</v>
      </c>
      <c r="M22" s="490">
        <v>1891</v>
      </c>
    </row>
    <row r="23" spans="1:13" s="488" customFormat="1" ht="14.1" customHeight="1" x14ac:dyDescent="0.2">
      <c r="A23" s="586"/>
      <c r="B23" s="497" t="s">
        <v>841</v>
      </c>
      <c r="C23" s="575">
        <f>SUM(K23-(K23*Capa!$C$1))</f>
        <v>1818.05</v>
      </c>
      <c r="D23" s="575"/>
      <c r="E23" s="575">
        <f>SUM(L23-(L23*Capa!$C$1))</f>
        <v>1855.15</v>
      </c>
      <c r="F23" s="575"/>
      <c r="G23" s="575">
        <f>SUM(M23-(M23*Capa!$C$1))</f>
        <v>1985</v>
      </c>
      <c r="H23" s="590"/>
      <c r="J23" s="491" t="s">
        <v>841</v>
      </c>
      <c r="K23" s="495">
        <v>1818.05</v>
      </c>
      <c r="L23" s="495">
        <v>1855.15</v>
      </c>
      <c r="M23" s="492">
        <v>1985</v>
      </c>
    </row>
    <row r="24" spans="1:13" s="488" customFormat="1" ht="14.1" customHeight="1" x14ac:dyDescent="0.2">
      <c r="A24" s="586"/>
      <c r="B24" s="496" t="s">
        <v>826</v>
      </c>
      <c r="C24" s="589">
        <f>SUM(K24-(K24*Capa!$C$1))</f>
        <v>1896.79</v>
      </c>
      <c r="D24" s="589"/>
      <c r="E24" s="589">
        <f>SUM(L24-(L24*Capa!$C$1))</f>
        <v>1898.79</v>
      </c>
      <c r="F24" s="589"/>
      <c r="G24" s="589">
        <f>SUM(M24-(M24*Capa!$C$1))</f>
        <v>2079.8000000000002</v>
      </c>
      <c r="H24" s="591"/>
      <c r="J24" s="489" t="s">
        <v>826</v>
      </c>
      <c r="K24" s="494">
        <v>1896.79</v>
      </c>
      <c r="L24" s="494">
        <v>1898.79</v>
      </c>
      <c r="M24" s="490">
        <v>2079.8000000000002</v>
      </c>
    </row>
    <row r="25" spans="1:13" s="488" customFormat="1" ht="14.1" customHeight="1" x14ac:dyDescent="0.2">
      <c r="A25" s="586"/>
      <c r="B25" s="497" t="s">
        <v>842</v>
      </c>
      <c r="C25" s="575">
        <f>SUM(K25-(K25*Capa!$C$1))</f>
        <v>1918.56</v>
      </c>
      <c r="D25" s="575"/>
      <c r="E25" s="575">
        <f>SUM(L25-(L25*Capa!$C$1))</f>
        <v>1957.71</v>
      </c>
      <c r="F25" s="575"/>
      <c r="G25" s="575">
        <f>SUM(M25-(M25*Capa!$C$1))</f>
        <v>2131.17</v>
      </c>
      <c r="H25" s="590"/>
      <c r="J25" s="491" t="s">
        <v>842</v>
      </c>
      <c r="K25" s="495">
        <v>1918.56</v>
      </c>
      <c r="L25" s="495">
        <v>1957.71</v>
      </c>
      <c r="M25" s="492">
        <v>2131.17</v>
      </c>
    </row>
    <row r="26" spans="1:13" s="488" customFormat="1" ht="14.1" customHeight="1" x14ac:dyDescent="0.2">
      <c r="A26" s="586"/>
      <c r="B26" s="496" t="s">
        <v>843</v>
      </c>
      <c r="C26" s="589">
        <f>SUM(K26-(K26*Capa!$C$1))</f>
        <v>1976.3</v>
      </c>
      <c r="D26" s="589"/>
      <c r="E26" s="589">
        <f>SUM(L26-(L26*Capa!$C$1))</f>
        <v>2016.64</v>
      </c>
      <c r="F26" s="589"/>
      <c r="G26" s="589">
        <f>SUM(M26-(M26*Capa!$C$1))</f>
        <v>2182.5500000000002</v>
      </c>
      <c r="H26" s="591"/>
      <c r="J26" s="489" t="s">
        <v>843</v>
      </c>
      <c r="K26" s="494">
        <v>1976.3</v>
      </c>
      <c r="L26" s="494">
        <v>2016.64</v>
      </c>
      <c r="M26" s="490">
        <v>2182.5500000000002</v>
      </c>
    </row>
    <row r="27" spans="1:13" s="488" customFormat="1" ht="14.1" customHeight="1" x14ac:dyDescent="0.2">
      <c r="A27" s="586"/>
      <c r="B27" s="497" t="s">
        <v>845</v>
      </c>
      <c r="C27" s="575">
        <f>SUM(K27-(K27*Capa!$C$1))</f>
        <v>2019.9</v>
      </c>
      <c r="D27" s="575"/>
      <c r="E27" s="575">
        <f>SUM(L27-(L27*Capa!$C$1))</f>
        <v>2061.13</v>
      </c>
      <c r="F27" s="575"/>
      <c r="G27" s="575">
        <f>SUM(M27-(M27*Capa!$C$1))</f>
        <v>2238.85</v>
      </c>
      <c r="H27" s="590"/>
      <c r="J27" s="491" t="s">
        <v>845</v>
      </c>
      <c r="K27" s="495">
        <v>2019.9</v>
      </c>
      <c r="L27" s="495">
        <v>2061.13</v>
      </c>
      <c r="M27" s="492">
        <v>2238.85</v>
      </c>
    </row>
    <row r="28" spans="1:13" s="488" customFormat="1" ht="14.1" customHeight="1" x14ac:dyDescent="0.2">
      <c r="A28" s="586"/>
      <c r="B28" s="496" t="s">
        <v>844</v>
      </c>
      <c r="C28" s="589">
        <f>SUM(K28-(K28*Capa!$C$1))</f>
        <v>2063.5</v>
      </c>
      <c r="D28" s="589"/>
      <c r="E28" s="589">
        <f>SUM(L28-(L28*Capa!$C$1))</f>
        <v>2105.62</v>
      </c>
      <c r="F28" s="589"/>
      <c r="G28" s="589">
        <f>SUM(M28-(M28*Capa!$C$1))</f>
        <v>2295.15</v>
      </c>
      <c r="H28" s="591"/>
      <c r="J28" s="489" t="s">
        <v>844</v>
      </c>
      <c r="K28" s="494">
        <v>2063.5</v>
      </c>
      <c r="L28" s="494">
        <v>2105.62</v>
      </c>
      <c r="M28" s="490">
        <v>2295.15</v>
      </c>
    </row>
    <row r="29" spans="1:13" s="488" customFormat="1" ht="14.1" customHeight="1" x14ac:dyDescent="0.2">
      <c r="A29" s="586"/>
      <c r="B29" s="497" t="s">
        <v>847</v>
      </c>
      <c r="C29" s="575">
        <f>SUM(K29-(K29*Capa!$C$1))</f>
        <v>2104.65</v>
      </c>
      <c r="D29" s="575"/>
      <c r="E29" s="575">
        <f>SUM(L29-(L29*Capa!$C$1))</f>
        <v>2147.65</v>
      </c>
      <c r="F29" s="575"/>
      <c r="G29" s="575">
        <f>SUM(M29-(M29*Capa!$C$1))</f>
        <v>2360.62</v>
      </c>
      <c r="H29" s="590"/>
      <c r="J29" s="491" t="s">
        <v>847</v>
      </c>
      <c r="K29" s="495">
        <v>2104.65</v>
      </c>
      <c r="L29" s="495">
        <v>2147.65</v>
      </c>
      <c r="M29" s="492">
        <v>2360.62</v>
      </c>
    </row>
    <row r="30" spans="1:13" s="488" customFormat="1" ht="14.1" customHeight="1" x14ac:dyDescent="0.2">
      <c r="A30" s="586"/>
      <c r="B30" s="496" t="s">
        <v>846</v>
      </c>
      <c r="C30" s="589">
        <f>SUM(K30-(K30*Capa!$C$1))</f>
        <v>2145.8000000000002</v>
      </c>
      <c r="D30" s="589"/>
      <c r="E30" s="589">
        <f>SUM(L30-(L30*Capa!$C$1))</f>
        <v>2189.6</v>
      </c>
      <c r="F30" s="589"/>
      <c r="G30" s="589">
        <f>SUM(M30-(M30*Capa!$C$1))</f>
        <v>2426.1</v>
      </c>
      <c r="H30" s="591"/>
      <c r="J30" s="489" t="s">
        <v>846</v>
      </c>
      <c r="K30" s="494">
        <v>2145.8000000000002</v>
      </c>
      <c r="L30" s="494">
        <v>2189.6</v>
      </c>
      <c r="M30" s="490">
        <v>2426.1</v>
      </c>
    </row>
    <row r="31" spans="1:13" s="5" customFormat="1" ht="18.600000000000001" customHeight="1" x14ac:dyDescent="0.25">
      <c r="A31" s="605" t="s">
        <v>271</v>
      </c>
      <c r="B31" s="606"/>
      <c r="C31" s="606"/>
      <c r="D31" s="606"/>
      <c r="E31" s="606"/>
      <c r="F31" s="606"/>
      <c r="G31" s="606"/>
      <c r="H31" s="607"/>
      <c r="J31" s="605" t="s">
        <v>271</v>
      </c>
      <c r="K31" s="606"/>
      <c r="L31" s="606"/>
      <c r="M31" s="607"/>
    </row>
    <row r="32" spans="1:13" s="488" customFormat="1" ht="14.1" customHeight="1" x14ac:dyDescent="0.2">
      <c r="A32" s="620" t="s">
        <v>786</v>
      </c>
      <c r="B32" s="553"/>
      <c r="C32" s="553"/>
      <c r="D32" s="553"/>
      <c r="E32" s="553"/>
      <c r="F32" s="553"/>
      <c r="G32" s="598">
        <f>SUM(J32-(J32*Capa!$C$1))</f>
        <v>80</v>
      </c>
      <c r="H32" s="568"/>
      <c r="J32" s="592">
        <v>80</v>
      </c>
      <c r="K32" s="593"/>
      <c r="L32" s="593"/>
      <c r="M32" s="594"/>
    </row>
    <row r="33" spans="1:13" s="488" customFormat="1" ht="14.1" customHeight="1" x14ac:dyDescent="0.2">
      <c r="A33" s="621" t="s">
        <v>787</v>
      </c>
      <c r="B33" s="552"/>
      <c r="C33" s="552"/>
      <c r="D33" s="552"/>
      <c r="E33" s="552"/>
      <c r="F33" s="552"/>
      <c r="G33" s="603">
        <f>SUM(J33-(J33*Capa!$C$1))</f>
        <v>120</v>
      </c>
      <c r="H33" s="566"/>
      <c r="J33" s="595">
        <v>120</v>
      </c>
      <c r="K33" s="596"/>
      <c r="L33" s="596"/>
      <c r="M33" s="597"/>
    </row>
    <row r="34" spans="1:13" s="488" customFormat="1" ht="14.1" customHeight="1" x14ac:dyDescent="0.2">
      <c r="A34" s="620" t="s">
        <v>851</v>
      </c>
      <c r="B34" s="553"/>
      <c r="C34" s="553"/>
      <c r="D34" s="553"/>
      <c r="E34" s="553"/>
      <c r="F34" s="553"/>
      <c r="G34" s="598">
        <f>SUM(J34-(J34*Capa!$C$1))</f>
        <v>160</v>
      </c>
      <c r="H34" s="568"/>
      <c r="J34" s="592">
        <v>160</v>
      </c>
      <c r="K34" s="593"/>
      <c r="L34" s="593"/>
      <c r="M34" s="594"/>
    </row>
    <row r="35" spans="1:13" s="488" customFormat="1" ht="14.1" customHeight="1" x14ac:dyDescent="0.2">
      <c r="A35" s="621" t="s">
        <v>788</v>
      </c>
      <c r="B35" s="552"/>
      <c r="C35" s="552"/>
      <c r="D35" s="552"/>
      <c r="E35" s="552"/>
      <c r="F35" s="552"/>
      <c r="G35" s="603">
        <f>SUM(J35-(J35*Capa!$C$1))</f>
        <v>40</v>
      </c>
      <c r="H35" s="566"/>
      <c r="J35" s="595">
        <v>40</v>
      </c>
      <c r="K35" s="596"/>
      <c r="L35" s="596"/>
      <c r="M35" s="597"/>
    </row>
    <row r="36" spans="1:13" s="488" customFormat="1" ht="14.1" customHeight="1" x14ac:dyDescent="0.2">
      <c r="A36" s="620" t="s">
        <v>789</v>
      </c>
      <c r="B36" s="553"/>
      <c r="C36" s="553"/>
      <c r="D36" s="553"/>
      <c r="E36" s="553"/>
      <c r="F36" s="553"/>
      <c r="G36" s="598">
        <f>SUM(J36-(J36*Capa!$C$1))</f>
        <v>50</v>
      </c>
      <c r="H36" s="568"/>
      <c r="J36" s="592">
        <v>50</v>
      </c>
      <c r="K36" s="593"/>
      <c r="L36" s="593"/>
      <c r="M36" s="594"/>
    </row>
    <row r="37" spans="1:13" s="488" customFormat="1" ht="14.1" customHeight="1" x14ac:dyDescent="0.2">
      <c r="A37" s="621" t="s">
        <v>790</v>
      </c>
      <c r="B37" s="552"/>
      <c r="C37" s="552"/>
      <c r="D37" s="552"/>
      <c r="E37" s="552"/>
      <c r="F37" s="552"/>
      <c r="G37" s="603">
        <f>SUM(J37)</f>
        <v>249</v>
      </c>
      <c r="H37" s="566"/>
      <c r="J37" s="595">
        <v>249</v>
      </c>
      <c r="K37" s="596"/>
      <c r="L37" s="596"/>
      <c r="M37" s="597"/>
    </row>
    <row r="38" spans="1:13" s="488" customFormat="1" ht="14.1" customHeight="1" x14ac:dyDescent="0.2">
      <c r="A38" s="620" t="s">
        <v>792</v>
      </c>
      <c r="B38" s="553"/>
      <c r="C38" s="553"/>
      <c r="D38" s="553"/>
      <c r="E38" s="553"/>
      <c r="F38" s="553"/>
      <c r="G38" s="598">
        <f>'Wave-Square-Retangular'!F46</f>
        <v>7.85</v>
      </c>
      <c r="H38" s="568"/>
      <c r="J38" s="602" t="s">
        <v>139</v>
      </c>
      <c r="K38" s="593"/>
      <c r="L38" s="593"/>
      <c r="M38" s="594"/>
    </row>
    <row r="39" spans="1:13" s="488" customFormat="1" ht="14.1" customHeight="1" x14ac:dyDescent="0.2">
      <c r="A39" s="621" t="s">
        <v>850</v>
      </c>
      <c r="B39" s="552"/>
      <c r="C39" s="552"/>
      <c r="D39" s="552"/>
      <c r="E39" s="552"/>
      <c r="F39" s="552"/>
      <c r="G39" s="603">
        <f>'Wave-Square-Retangular'!F47</f>
        <v>6.97</v>
      </c>
      <c r="H39" s="566"/>
      <c r="J39" s="604" t="s">
        <v>139</v>
      </c>
      <c r="K39" s="596"/>
      <c r="L39" s="596"/>
      <c r="M39" s="597"/>
    </row>
    <row r="40" spans="1:13" s="488" customFormat="1" ht="14.1" customHeight="1" thickBot="1" x14ac:dyDescent="0.25">
      <c r="A40" s="620" t="s">
        <v>793</v>
      </c>
      <c r="B40" s="553"/>
      <c r="C40" s="553"/>
      <c r="D40" s="553"/>
      <c r="E40" s="553"/>
      <c r="F40" s="553"/>
      <c r="G40" s="598">
        <f>Trilhos!D35</f>
        <v>0.19</v>
      </c>
      <c r="H40" s="568"/>
      <c r="J40" s="599" t="s">
        <v>139</v>
      </c>
      <c r="K40" s="600"/>
      <c r="L40" s="600"/>
      <c r="M40" s="601"/>
    </row>
    <row r="41" spans="1:13" s="469" customFormat="1" ht="14.1" customHeight="1" x14ac:dyDescent="0.2">
      <c r="A41" s="614" t="s">
        <v>852</v>
      </c>
      <c r="B41" s="615"/>
      <c r="C41" s="615"/>
      <c r="D41" s="615"/>
      <c r="E41" s="615"/>
      <c r="F41" s="615"/>
      <c r="G41" s="615"/>
      <c r="H41" s="616"/>
      <c r="J41" s="471"/>
    </row>
    <row r="42" spans="1:13" s="469" customFormat="1" ht="14.1" customHeight="1" x14ac:dyDescent="0.2">
      <c r="A42" s="614" t="s">
        <v>738</v>
      </c>
      <c r="B42" s="615"/>
      <c r="C42" s="615"/>
      <c r="D42" s="615"/>
      <c r="E42" s="615"/>
      <c r="F42" s="615"/>
      <c r="G42" s="615"/>
      <c r="H42" s="616"/>
      <c r="J42" s="471"/>
    </row>
    <row r="43" spans="1:13" s="469" customFormat="1" ht="14.1" customHeight="1" x14ac:dyDescent="0.2">
      <c r="A43" s="617" t="s">
        <v>781</v>
      </c>
      <c r="B43" s="618"/>
      <c r="C43" s="618"/>
      <c r="D43" s="618"/>
      <c r="E43" s="618"/>
      <c r="F43" s="618"/>
      <c r="G43" s="618"/>
      <c r="H43" s="619"/>
      <c r="J43" s="471"/>
    </row>
    <row r="44" spans="1:13" x14ac:dyDescent="0.2">
      <c r="A44" s="608"/>
      <c r="B44" s="609"/>
      <c r="C44" s="609"/>
      <c r="D44" s="609"/>
      <c r="E44" s="609"/>
      <c r="F44" s="609"/>
      <c r="G44" s="609"/>
      <c r="H44" s="610"/>
      <c r="J44" s="64"/>
    </row>
    <row r="45" spans="1:13" x14ac:dyDescent="0.2">
      <c r="A45" s="608"/>
      <c r="B45" s="609"/>
      <c r="C45" s="609"/>
      <c r="D45" s="609"/>
      <c r="E45" s="609"/>
      <c r="F45" s="609"/>
      <c r="G45" s="609"/>
      <c r="H45" s="610"/>
      <c r="J45" s="64"/>
    </row>
    <row r="46" spans="1:13" x14ac:dyDescent="0.2">
      <c r="A46" s="608"/>
      <c r="B46" s="609"/>
      <c r="C46" s="609"/>
      <c r="D46" s="609"/>
      <c r="E46" s="609"/>
      <c r="F46" s="609"/>
      <c r="G46" s="609"/>
      <c r="H46" s="610"/>
      <c r="J46" s="64"/>
    </row>
    <row r="47" spans="1:13" x14ac:dyDescent="0.2">
      <c r="A47" s="608"/>
      <c r="B47" s="609"/>
      <c r="C47" s="609"/>
      <c r="D47" s="609"/>
      <c r="E47" s="609"/>
      <c r="F47" s="609"/>
      <c r="G47" s="609"/>
      <c r="H47" s="610"/>
    </row>
    <row r="48" spans="1:13" x14ac:dyDescent="0.2">
      <c r="A48" s="608"/>
      <c r="B48" s="609"/>
      <c r="C48" s="609"/>
      <c r="D48" s="609"/>
      <c r="E48" s="609"/>
      <c r="F48" s="609"/>
      <c r="G48" s="609"/>
      <c r="H48" s="610"/>
    </row>
    <row r="49" spans="1:244" x14ac:dyDescent="0.2">
      <c r="A49" s="608"/>
      <c r="B49" s="609"/>
      <c r="C49" s="609"/>
      <c r="D49" s="609"/>
      <c r="E49" s="609"/>
      <c r="F49" s="609"/>
      <c r="G49" s="609"/>
      <c r="H49" s="610"/>
    </row>
    <row r="50" spans="1:244" x14ac:dyDescent="0.2">
      <c r="A50" s="608"/>
      <c r="B50" s="609"/>
      <c r="C50" s="609"/>
      <c r="D50" s="609"/>
      <c r="E50" s="609"/>
      <c r="F50" s="609"/>
      <c r="G50" s="609"/>
      <c r="H50" s="610"/>
    </row>
    <row r="51" spans="1:244" x14ac:dyDescent="0.2">
      <c r="A51" s="608"/>
      <c r="B51" s="609"/>
      <c r="C51" s="609"/>
      <c r="D51" s="609"/>
      <c r="E51" s="609"/>
      <c r="F51" s="609"/>
      <c r="G51" s="609"/>
      <c r="H51" s="610"/>
    </row>
    <row r="52" spans="1:244" s="228" customFormat="1" ht="86.25" customHeight="1" thickBot="1" x14ac:dyDescent="0.25">
      <c r="A52" s="611"/>
      <c r="B52" s="612"/>
      <c r="C52" s="612"/>
      <c r="D52" s="612"/>
      <c r="E52" s="612"/>
      <c r="F52" s="612"/>
      <c r="G52" s="612"/>
      <c r="H52" s="613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49"/>
      <c r="FF52" s="49"/>
      <c r="FG52" s="49"/>
      <c r="FH52" s="49"/>
      <c r="FI52" s="49"/>
      <c r="FJ52" s="49"/>
      <c r="FK52" s="49"/>
      <c r="FL52" s="49"/>
      <c r="FM52" s="49"/>
      <c r="FN52" s="49"/>
      <c r="FO52" s="49"/>
      <c r="FP52" s="49"/>
      <c r="FQ52" s="49"/>
      <c r="FR52" s="49"/>
      <c r="FS52" s="49"/>
      <c r="FT52" s="49"/>
      <c r="FU52" s="49"/>
      <c r="FV52" s="49"/>
      <c r="FW52" s="49"/>
      <c r="FX52" s="49"/>
      <c r="FY52" s="49"/>
      <c r="FZ52" s="49"/>
      <c r="GA52" s="49"/>
      <c r="GB52" s="49"/>
      <c r="GC52" s="49"/>
      <c r="GD52" s="49"/>
      <c r="GE52" s="49"/>
      <c r="GF52" s="49"/>
      <c r="GG52" s="49"/>
      <c r="GH52" s="49"/>
      <c r="GI52" s="49"/>
      <c r="GJ52" s="49"/>
      <c r="GK52" s="49"/>
      <c r="GL52" s="49"/>
      <c r="GM52" s="49"/>
      <c r="GN52" s="49"/>
      <c r="GO52" s="49"/>
      <c r="GP52" s="49"/>
      <c r="GQ52" s="49"/>
      <c r="GR52" s="49"/>
      <c r="GS52" s="49"/>
      <c r="GT52" s="49"/>
      <c r="GU52" s="49"/>
      <c r="GV52" s="49"/>
      <c r="GW52" s="49"/>
      <c r="GX52" s="49"/>
      <c r="GY52" s="49"/>
      <c r="GZ52" s="49"/>
      <c r="HA52" s="49"/>
      <c r="HB52" s="49"/>
      <c r="HC52" s="49"/>
      <c r="HD52" s="49"/>
      <c r="HE52" s="49"/>
      <c r="HF52" s="49"/>
      <c r="HG52" s="49"/>
      <c r="HH52" s="49"/>
      <c r="HI52" s="49"/>
      <c r="HJ52" s="49"/>
      <c r="HK52" s="49"/>
      <c r="HL52" s="49"/>
      <c r="HM52" s="49"/>
      <c r="HN52" s="49"/>
      <c r="HO52" s="49"/>
      <c r="HP52" s="49"/>
      <c r="HQ52" s="49"/>
      <c r="HR52" s="49"/>
      <c r="HS52" s="49"/>
      <c r="HT52" s="49"/>
      <c r="HU52" s="49"/>
      <c r="HV52" s="49"/>
      <c r="HW52" s="49"/>
      <c r="HX52" s="49"/>
      <c r="HY52" s="49"/>
      <c r="HZ52" s="49"/>
      <c r="IA52" s="49"/>
      <c r="IB52" s="49"/>
      <c r="IC52" s="49"/>
      <c r="ID52" s="49"/>
      <c r="IE52" s="49"/>
      <c r="IF52" s="49"/>
      <c r="IG52" s="49"/>
      <c r="IH52" s="49"/>
      <c r="II52" s="49"/>
      <c r="IJ52" s="49"/>
    </row>
    <row r="53" spans="1:244" s="228" customFormat="1" ht="33.75" customHeight="1" x14ac:dyDescent="0.2"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9"/>
      <c r="FQ53" s="49"/>
      <c r="FR53" s="49"/>
      <c r="FS53" s="49"/>
      <c r="FT53" s="49"/>
      <c r="FU53" s="49"/>
      <c r="FV53" s="49"/>
      <c r="FW53" s="49"/>
      <c r="FX53" s="49"/>
      <c r="FY53" s="49"/>
      <c r="FZ53" s="49"/>
      <c r="GA53" s="49"/>
      <c r="GB53" s="49"/>
      <c r="GC53" s="49"/>
      <c r="GD53" s="49"/>
      <c r="GE53" s="49"/>
      <c r="GF53" s="49"/>
      <c r="GG53" s="49"/>
      <c r="GH53" s="49"/>
      <c r="GI53" s="49"/>
      <c r="GJ53" s="49"/>
      <c r="GK53" s="49"/>
      <c r="GL53" s="49"/>
      <c r="GM53" s="49"/>
      <c r="GN53" s="49"/>
      <c r="GO53" s="49"/>
      <c r="GP53" s="49"/>
      <c r="GQ53" s="49"/>
      <c r="GR53" s="49"/>
      <c r="GS53" s="49"/>
      <c r="GT53" s="49"/>
      <c r="GU53" s="49"/>
      <c r="GV53" s="49"/>
      <c r="GW53" s="49"/>
      <c r="GX53" s="49"/>
      <c r="GY53" s="49"/>
      <c r="GZ53" s="49"/>
      <c r="HA53" s="49"/>
      <c r="HB53" s="49"/>
      <c r="HC53" s="49"/>
      <c r="HD53" s="49"/>
      <c r="HE53" s="49"/>
      <c r="HF53" s="49"/>
      <c r="HG53" s="49"/>
      <c r="HH53" s="49"/>
      <c r="HI53" s="49"/>
      <c r="HJ53" s="49"/>
      <c r="HK53" s="49"/>
      <c r="HL53" s="49"/>
      <c r="HM53" s="49"/>
      <c r="HN53" s="49"/>
      <c r="HO53" s="49"/>
      <c r="HP53" s="49"/>
      <c r="HQ53" s="49"/>
      <c r="HR53" s="49"/>
      <c r="HS53" s="49"/>
      <c r="HT53" s="49"/>
      <c r="HU53" s="49"/>
      <c r="HV53" s="49"/>
      <c r="HW53" s="49"/>
      <c r="HX53" s="49"/>
      <c r="HY53" s="49"/>
      <c r="HZ53" s="49"/>
      <c r="IA53" s="49"/>
      <c r="IB53" s="49"/>
      <c r="IC53" s="49"/>
      <c r="ID53" s="49"/>
      <c r="IE53" s="49"/>
      <c r="IF53" s="49"/>
      <c r="IG53" s="49"/>
      <c r="IH53" s="49"/>
      <c r="II53" s="49"/>
      <c r="IJ53" s="49"/>
    </row>
  </sheetData>
  <sheetProtection sheet="1" objects="1" scenarios="1"/>
  <mergeCells count="113">
    <mergeCell ref="C25:D25"/>
    <mergeCell ref="C15:D15"/>
    <mergeCell ref="E15:F15"/>
    <mergeCell ref="G15:H15"/>
    <mergeCell ref="G21:H21"/>
    <mergeCell ref="A44:H52"/>
    <mergeCell ref="A41:H41"/>
    <mergeCell ref="A42:H42"/>
    <mergeCell ref="A43:H43"/>
    <mergeCell ref="A32:F32"/>
    <mergeCell ref="A31:H31"/>
    <mergeCell ref="A33:F33"/>
    <mergeCell ref="A34:F34"/>
    <mergeCell ref="A35:F35"/>
    <mergeCell ref="A36:F36"/>
    <mergeCell ref="A37:F37"/>
    <mergeCell ref="A38:F38"/>
    <mergeCell ref="A39:F39"/>
    <mergeCell ref="A40:F40"/>
    <mergeCell ref="C27:D27"/>
    <mergeCell ref="E27:F27"/>
    <mergeCell ref="G27:H27"/>
    <mergeCell ref="C29:D29"/>
    <mergeCell ref="E29:F29"/>
    <mergeCell ref="G29:H29"/>
    <mergeCell ref="J32:M32"/>
    <mergeCell ref="J33:M33"/>
    <mergeCell ref="J35:M35"/>
    <mergeCell ref="J36:M36"/>
    <mergeCell ref="J37:M37"/>
    <mergeCell ref="J34:M34"/>
    <mergeCell ref="E30:F30"/>
    <mergeCell ref="G40:H40"/>
    <mergeCell ref="J40:M40"/>
    <mergeCell ref="G38:H38"/>
    <mergeCell ref="J38:M38"/>
    <mergeCell ref="G39:H39"/>
    <mergeCell ref="J39:M39"/>
    <mergeCell ref="G36:H36"/>
    <mergeCell ref="G37:H37"/>
    <mergeCell ref="J31:M31"/>
    <mergeCell ref="G33:H33"/>
    <mergeCell ref="G35:H35"/>
    <mergeCell ref="G34:H34"/>
    <mergeCell ref="G32:H32"/>
    <mergeCell ref="E8:F8"/>
    <mergeCell ref="E10:F10"/>
    <mergeCell ref="G8:H8"/>
    <mergeCell ref="C30:D30"/>
    <mergeCell ref="E12:F12"/>
    <mergeCell ref="E14:F14"/>
    <mergeCell ref="E16:F16"/>
    <mergeCell ref="E18:F18"/>
    <mergeCell ref="E20:F20"/>
    <mergeCell ref="E22:F22"/>
    <mergeCell ref="C28:D28"/>
    <mergeCell ref="C18:D18"/>
    <mergeCell ref="C20:D20"/>
    <mergeCell ref="C22:D22"/>
    <mergeCell ref="C24:D24"/>
    <mergeCell ref="C26:D26"/>
    <mergeCell ref="C21:D21"/>
    <mergeCell ref="C23:D23"/>
    <mergeCell ref="G10:H10"/>
    <mergeCell ref="C12:D12"/>
    <mergeCell ref="C14:D14"/>
    <mergeCell ref="C16:D16"/>
    <mergeCell ref="E21:F21"/>
    <mergeCell ref="G30:H30"/>
    <mergeCell ref="G12:H12"/>
    <mergeCell ref="G14:H14"/>
    <mergeCell ref="G16:H16"/>
    <mergeCell ref="G18:H18"/>
    <mergeCell ref="G20:H20"/>
    <mergeCell ref="G22:H22"/>
    <mergeCell ref="G24:H24"/>
    <mergeCell ref="G26:H26"/>
    <mergeCell ref="G28:H28"/>
    <mergeCell ref="G23:H23"/>
    <mergeCell ref="E24:F24"/>
    <mergeCell ref="E26:F26"/>
    <mergeCell ref="E28:F28"/>
    <mergeCell ref="E25:F25"/>
    <mergeCell ref="G25:H25"/>
    <mergeCell ref="E17:F17"/>
    <mergeCell ref="G17:H17"/>
    <mergeCell ref="E19:F19"/>
    <mergeCell ref="G19:H19"/>
    <mergeCell ref="E23:F23"/>
    <mergeCell ref="E13:F13"/>
    <mergeCell ref="A1:C1"/>
    <mergeCell ref="D1:H1"/>
    <mergeCell ref="A2:H2"/>
    <mergeCell ref="A3:H3"/>
    <mergeCell ref="A4:H4"/>
    <mergeCell ref="A5:H5"/>
    <mergeCell ref="A6:H6"/>
    <mergeCell ref="A8:A30"/>
    <mergeCell ref="C7:D7"/>
    <mergeCell ref="E7:F7"/>
    <mergeCell ref="G7:H7"/>
    <mergeCell ref="C8:D8"/>
    <mergeCell ref="C10:D10"/>
    <mergeCell ref="C9:D9"/>
    <mergeCell ref="E9:F9"/>
    <mergeCell ref="G9:H9"/>
    <mergeCell ref="C11:D11"/>
    <mergeCell ref="E11:F11"/>
    <mergeCell ref="G11:H11"/>
    <mergeCell ref="C17:D17"/>
    <mergeCell ref="C19:D19"/>
    <mergeCell ref="C13:D13"/>
    <mergeCell ref="G13:H13"/>
  </mergeCells>
  <printOptions horizontalCentered="1"/>
  <pageMargins left="0.23622047244094491" right="0.23622047244094491" top="0.23622047244094491" bottom="0.23622047244094491" header="0" footer="0"/>
  <pageSetup scale="85" orientation="portrait" r:id="rId1"/>
  <headerFooter>
    <oddFooter>Página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P57"/>
  <sheetViews>
    <sheetView showGridLines="0" showWhiteSpace="0" view="pageLayout" zoomScale="90" zoomScaleNormal="100" zoomScalePageLayoutView="90" workbookViewId="0">
      <selection sqref="A1:E1"/>
    </sheetView>
  </sheetViews>
  <sheetFormatPr defaultColWidth="0.28515625" defaultRowHeight="12.75" x14ac:dyDescent="0.2"/>
  <cols>
    <col min="1" max="1" width="14.42578125" style="228" customWidth="1"/>
    <col min="2" max="2" width="14" style="228" customWidth="1"/>
    <col min="3" max="3" width="14.7109375" style="49" customWidth="1"/>
    <col min="4" max="4" width="14.28515625" style="49" customWidth="1"/>
    <col min="5" max="5" width="14.42578125" style="49" customWidth="1"/>
    <col min="6" max="6" width="14.7109375" style="49" customWidth="1"/>
    <col min="7" max="7" width="14.42578125" style="49" customWidth="1"/>
    <col min="8" max="8" width="14.28515625" style="49" customWidth="1"/>
    <col min="9" max="9" width="14.28515625" style="64" customWidth="1"/>
    <col min="10" max="10" width="15" style="49" customWidth="1"/>
    <col min="11" max="19" width="11.28515625" style="49" hidden="1" customWidth="1"/>
    <col min="20" max="277" width="9.140625" style="49" customWidth="1"/>
    <col min="278" max="16384" width="0.28515625" style="49"/>
  </cols>
  <sheetData>
    <row r="1" spans="1:19" ht="117" customHeight="1" x14ac:dyDescent="0.2">
      <c r="A1" s="576"/>
      <c r="B1" s="577"/>
      <c r="C1" s="577"/>
      <c r="D1" s="577"/>
      <c r="E1" s="577"/>
      <c r="F1" s="577"/>
      <c r="G1" s="577"/>
      <c r="H1" s="577"/>
      <c r="I1" s="578"/>
    </row>
    <row r="2" spans="1:19" s="5" customFormat="1" ht="20.100000000000001" customHeight="1" x14ac:dyDescent="0.25">
      <c r="A2" s="622" t="s">
        <v>856</v>
      </c>
      <c r="B2" s="623"/>
      <c r="C2" s="623"/>
      <c r="D2" s="623"/>
      <c r="E2" s="623"/>
      <c r="F2" s="623"/>
      <c r="G2" s="623"/>
      <c r="H2" s="623"/>
      <c r="I2" s="624"/>
      <c r="J2" s="332"/>
    </row>
    <row r="3" spans="1:19" s="5" customFormat="1" ht="20.100000000000001" customHeight="1" x14ac:dyDescent="0.25">
      <c r="A3" s="625" t="s">
        <v>718</v>
      </c>
      <c r="B3" s="626"/>
      <c r="C3" s="626"/>
      <c r="D3" s="626"/>
      <c r="E3" s="626"/>
      <c r="F3" s="626"/>
      <c r="G3" s="626"/>
      <c r="H3" s="626"/>
      <c r="I3" s="627"/>
    </row>
    <row r="4" spans="1:19" ht="14.1" customHeight="1" x14ac:dyDescent="0.2">
      <c r="A4" s="212" t="s">
        <v>435</v>
      </c>
      <c r="B4" s="238" t="s">
        <v>340</v>
      </c>
      <c r="C4" s="238" t="s">
        <v>341</v>
      </c>
      <c r="D4" s="238" t="s">
        <v>342</v>
      </c>
      <c r="E4" s="238" t="s">
        <v>343</v>
      </c>
      <c r="F4" s="217" t="s">
        <v>344</v>
      </c>
      <c r="G4" s="217" t="s">
        <v>597</v>
      </c>
      <c r="H4" s="217" t="s">
        <v>727</v>
      </c>
      <c r="I4" s="334" t="s">
        <v>436</v>
      </c>
      <c r="K4" s="212" t="s">
        <v>435</v>
      </c>
      <c r="L4" s="335" t="s">
        <v>340</v>
      </c>
      <c r="M4" s="335" t="s">
        <v>341</v>
      </c>
      <c r="N4" s="335" t="s">
        <v>342</v>
      </c>
      <c r="O4" s="335" t="s">
        <v>343</v>
      </c>
      <c r="P4" s="336" t="s">
        <v>344</v>
      </c>
      <c r="Q4" s="336" t="s">
        <v>597</v>
      </c>
      <c r="R4" s="336" t="s">
        <v>727</v>
      </c>
      <c r="S4" s="337" t="s">
        <v>436</v>
      </c>
    </row>
    <row r="5" spans="1:19" ht="14.1" customHeight="1" x14ac:dyDescent="0.2">
      <c r="A5" s="27" t="s">
        <v>329</v>
      </c>
      <c r="B5" s="28">
        <f>SUM(L5-(L5*Capa!$C$1))</f>
        <v>95.983999999999995</v>
      </c>
      <c r="C5" s="28">
        <f>SUM(M5-(M5*Capa!$C$1))</f>
        <v>99.468999999999994</v>
      </c>
      <c r="D5" s="28">
        <f>SUM(N5-(N5*Capa!$C$1))</f>
        <v>102.95399999999999</v>
      </c>
      <c r="E5" s="28">
        <f>SUM(O5-(O5*Capa!$C$1))</f>
        <v>106.43899999999999</v>
      </c>
      <c r="F5" s="28">
        <f>SUM(P5-(P5*Capa!$C$1))</f>
        <v>109.92399999999999</v>
      </c>
      <c r="G5" s="28">
        <f>SUM(Q5-(Q5*Capa!$C$1))</f>
        <v>82.043999999999997</v>
      </c>
      <c r="H5" s="28">
        <f>SUM(R5-(R5*Capa!$C$1))</f>
        <v>82.043999999999997</v>
      </c>
      <c r="I5" s="170">
        <f>SUM(S5-(S5*Capa!$C$1))</f>
        <v>70.81</v>
      </c>
      <c r="K5" s="27" t="s">
        <v>329</v>
      </c>
      <c r="L5" s="60">
        <v>95.983999999999995</v>
      </c>
      <c r="M5" s="60">
        <v>99.468999999999994</v>
      </c>
      <c r="N5" s="60">
        <v>102.95399999999999</v>
      </c>
      <c r="O5" s="60">
        <v>106.43899999999999</v>
      </c>
      <c r="P5" s="60">
        <v>109.92399999999999</v>
      </c>
      <c r="Q5" s="60">
        <v>82.043999999999997</v>
      </c>
      <c r="R5" s="60">
        <v>82.043999999999997</v>
      </c>
      <c r="S5" s="170">
        <v>70.81</v>
      </c>
    </row>
    <row r="6" spans="1:19" ht="14.1" customHeight="1" x14ac:dyDescent="0.2">
      <c r="A6" s="215" t="s">
        <v>335</v>
      </c>
      <c r="B6" s="216">
        <f>SUM(L6-(L6*Capa!$C$1))</f>
        <v>120.107</v>
      </c>
      <c r="C6" s="216">
        <f>SUM(M6-(M6*Capa!$C$1))</f>
        <v>125.33450000000001</v>
      </c>
      <c r="D6" s="216">
        <f>SUM(N6-(N6*Capa!$C$1))</f>
        <v>130.56200000000001</v>
      </c>
      <c r="E6" s="216">
        <f>SUM(O6-(O6*Capa!$C$1))</f>
        <v>135.7895</v>
      </c>
      <c r="F6" s="216">
        <f>SUM(P6-(P6*Capa!$C$1))</f>
        <v>141.017</v>
      </c>
      <c r="G6" s="216">
        <f>SUM(Q6-(Q6*Capa!$C$1))</f>
        <v>99.197000000000003</v>
      </c>
      <c r="H6" s="216">
        <f>SUM(R6-(R6*Capa!$C$1))</f>
        <v>99.197000000000003</v>
      </c>
      <c r="I6" s="193">
        <f>SUM(S6-(S6*Capa!$C$1))</f>
        <v>86.33</v>
      </c>
      <c r="K6" s="215" t="s">
        <v>335</v>
      </c>
      <c r="L6" s="338">
        <v>120.107</v>
      </c>
      <c r="M6" s="338">
        <v>125.33450000000001</v>
      </c>
      <c r="N6" s="338">
        <v>130.56200000000001</v>
      </c>
      <c r="O6" s="338">
        <v>135.7895</v>
      </c>
      <c r="P6" s="338">
        <v>141.017</v>
      </c>
      <c r="Q6" s="338">
        <v>99.197000000000003</v>
      </c>
      <c r="R6" s="338">
        <v>99.197000000000003</v>
      </c>
      <c r="S6" s="193">
        <v>86.33</v>
      </c>
    </row>
    <row r="7" spans="1:19" ht="14.1" customHeight="1" x14ac:dyDescent="0.2">
      <c r="A7" s="27" t="s">
        <v>330</v>
      </c>
      <c r="B7" s="28">
        <f>SUM(L7-(L7*Capa!$C$1))</f>
        <v>145.45000000000002</v>
      </c>
      <c r="C7" s="28">
        <f>SUM(M7-(M7*Capa!$C$1))</f>
        <v>152.42000000000002</v>
      </c>
      <c r="D7" s="28">
        <f>SUM(N7-(N7*Capa!$C$1))</f>
        <v>159.39000000000001</v>
      </c>
      <c r="E7" s="28">
        <f>SUM(O7-(O7*Capa!$C$1))</f>
        <v>166.36</v>
      </c>
      <c r="F7" s="28">
        <f>SUM(P7-(P7*Capa!$C$1))</f>
        <v>173.33</v>
      </c>
      <c r="G7" s="28">
        <f>SUM(Q7-(Q7*Capa!$C$1))</f>
        <v>117.57000000000001</v>
      </c>
      <c r="H7" s="28">
        <f>SUM(R7-(R7*Capa!$C$1))</f>
        <v>117.57000000000001</v>
      </c>
      <c r="I7" s="170">
        <f>SUM(S7-(S7*Capa!$C$1))</f>
        <v>101.85</v>
      </c>
      <c r="K7" s="27" t="s">
        <v>330</v>
      </c>
      <c r="L7" s="60">
        <v>145.45000000000002</v>
      </c>
      <c r="M7" s="60">
        <v>152.42000000000002</v>
      </c>
      <c r="N7" s="60">
        <v>159.39000000000001</v>
      </c>
      <c r="O7" s="60">
        <v>166.36</v>
      </c>
      <c r="P7" s="60">
        <v>173.33</v>
      </c>
      <c r="Q7" s="60">
        <v>117.57000000000001</v>
      </c>
      <c r="R7" s="60">
        <v>117.57000000000001</v>
      </c>
      <c r="S7" s="170">
        <v>101.85</v>
      </c>
    </row>
    <row r="8" spans="1:19" ht="14.1" customHeight="1" x14ac:dyDescent="0.2">
      <c r="A8" s="215" t="s">
        <v>336</v>
      </c>
      <c r="B8" s="216">
        <f>SUM(L8-(L8*Capa!$C$1))</f>
        <v>168.833</v>
      </c>
      <c r="C8" s="216">
        <f>SUM(M8-(M8*Capa!$C$1))</f>
        <v>177.5455</v>
      </c>
      <c r="D8" s="216">
        <f>SUM(N8-(N8*Capa!$C$1))</f>
        <v>186.25800000000001</v>
      </c>
      <c r="E8" s="216">
        <f>SUM(O8-(O8*Capa!$C$1))</f>
        <v>194.97050000000002</v>
      </c>
      <c r="F8" s="216">
        <f>SUM(P8-(P8*Capa!$C$1))</f>
        <v>203.68299999999999</v>
      </c>
      <c r="G8" s="216">
        <f>SUM(Q8-(Q8*Capa!$C$1))</f>
        <v>133.983</v>
      </c>
      <c r="H8" s="216">
        <f>SUM(R8-(R8*Capa!$C$1))</f>
        <v>133.983</v>
      </c>
      <c r="I8" s="193">
        <f>SUM(S8-(S8*Capa!$C$1))</f>
        <v>114.46</v>
      </c>
      <c r="K8" s="215" t="s">
        <v>336</v>
      </c>
      <c r="L8" s="338">
        <v>168.833</v>
      </c>
      <c r="M8" s="338">
        <v>177.5455</v>
      </c>
      <c r="N8" s="338">
        <v>186.25800000000001</v>
      </c>
      <c r="O8" s="338">
        <v>194.97050000000002</v>
      </c>
      <c r="P8" s="338">
        <v>203.68299999999999</v>
      </c>
      <c r="Q8" s="338">
        <v>133.983</v>
      </c>
      <c r="R8" s="338">
        <v>133.983</v>
      </c>
      <c r="S8" s="193">
        <v>114.46</v>
      </c>
    </row>
    <row r="9" spans="1:19" ht="14.1" customHeight="1" x14ac:dyDescent="0.2">
      <c r="A9" s="27" t="s">
        <v>331</v>
      </c>
      <c r="B9" s="28">
        <f>SUM(L9-(L9*Capa!$C$1))</f>
        <v>193.97399999999999</v>
      </c>
      <c r="C9" s="28">
        <f>SUM(M9-(M9*Capa!$C$1))</f>
        <v>204.429</v>
      </c>
      <c r="D9" s="28">
        <f>SUM(N9-(N9*Capa!$C$1))</f>
        <v>214.88399999999999</v>
      </c>
      <c r="E9" s="28">
        <f>SUM(O9-(O9*Capa!$C$1))</f>
        <v>225.339</v>
      </c>
      <c r="F9" s="28">
        <f>SUM(P9-(P9*Capa!$C$1))</f>
        <v>235.79399999999998</v>
      </c>
      <c r="G9" s="28">
        <f>SUM(Q9-(Q9*Capa!$C$1))</f>
        <v>152.154</v>
      </c>
      <c r="H9" s="28">
        <f>SUM(R9-(R9*Capa!$C$1))</f>
        <v>152.154</v>
      </c>
      <c r="I9" s="170">
        <f>SUM(S9-(S9*Capa!$C$1))</f>
        <v>129.97999999999999</v>
      </c>
      <c r="K9" s="27" t="s">
        <v>331</v>
      </c>
      <c r="L9" s="60">
        <v>193.97399999999999</v>
      </c>
      <c r="M9" s="60">
        <v>204.429</v>
      </c>
      <c r="N9" s="60">
        <v>214.88399999999999</v>
      </c>
      <c r="O9" s="60">
        <v>225.339</v>
      </c>
      <c r="P9" s="60">
        <v>235.79399999999998</v>
      </c>
      <c r="Q9" s="60">
        <v>152.154</v>
      </c>
      <c r="R9" s="60">
        <v>152.154</v>
      </c>
      <c r="S9" s="170">
        <v>129.97999999999999</v>
      </c>
    </row>
    <row r="10" spans="1:19" ht="14.1" customHeight="1" x14ac:dyDescent="0.2">
      <c r="A10" s="215" t="s">
        <v>337</v>
      </c>
      <c r="B10" s="216">
        <f>SUM(L10-(L10*Capa!$C$1))</f>
        <v>217.357</v>
      </c>
      <c r="C10" s="216">
        <f>SUM(M10-(M10*Capa!$C$1))</f>
        <v>229.55450000000002</v>
      </c>
      <c r="D10" s="216">
        <f>SUM(N10-(N10*Capa!$C$1))</f>
        <v>241.75200000000001</v>
      </c>
      <c r="E10" s="216">
        <f>SUM(O10-(O10*Capa!$C$1))</f>
        <v>253.9495</v>
      </c>
      <c r="F10" s="216">
        <f>SUM(P10-(P10*Capa!$C$1))</f>
        <v>266.14699999999999</v>
      </c>
      <c r="G10" s="216">
        <f>SUM(Q10-(Q10*Capa!$C$1))</f>
        <v>168.56700000000001</v>
      </c>
      <c r="H10" s="216">
        <f>SUM(R10-(R10*Capa!$C$1))</f>
        <v>168.56700000000001</v>
      </c>
      <c r="I10" s="193">
        <f>SUM(S10-(S10*Capa!$C$1))</f>
        <v>142.59</v>
      </c>
      <c r="K10" s="215" t="s">
        <v>337</v>
      </c>
      <c r="L10" s="338">
        <v>217.357</v>
      </c>
      <c r="M10" s="338">
        <v>229.55450000000002</v>
      </c>
      <c r="N10" s="338">
        <v>241.75200000000001</v>
      </c>
      <c r="O10" s="338">
        <v>253.9495</v>
      </c>
      <c r="P10" s="338">
        <v>266.14699999999999</v>
      </c>
      <c r="Q10" s="338">
        <v>168.56700000000001</v>
      </c>
      <c r="R10" s="338">
        <v>168.56700000000001</v>
      </c>
      <c r="S10" s="193">
        <v>142.59</v>
      </c>
    </row>
    <row r="11" spans="1:19" ht="14.1" customHeight="1" x14ac:dyDescent="0.2">
      <c r="A11" s="27" t="s">
        <v>332</v>
      </c>
      <c r="B11" s="28">
        <f>SUM(L11-(L11*Capa!$C$1))</f>
        <v>242.108</v>
      </c>
      <c r="C11" s="28">
        <f>SUM(M11-(M11*Capa!$C$1))</f>
        <v>256.048</v>
      </c>
      <c r="D11" s="28">
        <f>SUM(N11-(N11*Capa!$C$1))</f>
        <v>269.988</v>
      </c>
      <c r="E11" s="28">
        <f>SUM(O11-(O11*Capa!$C$1))</f>
        <v>283.928</v>
      </c>
      <c r="F11" s="28">
        <f>SUM(P11-(P11*Capa!$C$1))</f>
        <v>297.86799999999999</v>
      </c>
      <c r="G11" s="28">
        <f>SUM(Q11-(Q11*Capa!$C$1))</f>
        <v>186.34800000000001</v>
      </c>
      <c r="H11" s="28">
        <f>SUM(R11-(R11*Capa!$C$1))</f>
        <v>186.34800000000001</v>
      </c>
      <c r="I11" s="170">
        <f>SUM(S11-(S11*Capa!$C$1))</f>
        <v>148.88999999999999</v>
      </c>
      <c r="K11" s="27" t="s">
        <v>332</v>
      </c>
      <c r="L11" s="60">
        <v>242.108</v>
      </c>
      <c r="M11" s="60">
        <v>256.048</v>
      </c>
      <c r="N11" s="60">
        <v>269.988</v>
      </c>
      <c r="O11" s="60">
        <v>283.928</v>
      </c>
      <c r="P11" s="60">
        <v>297.86799999999999</v>
      </c>
      <c r="Q11" s="60">
        <v>186.34800000000001</v>
      </c>
      <c r="R11" s="60">
        <v>186.34800000000001</v>
      </c>
      <c r="S11" s="170">
        <v>148.88999999999999</v>
      </c>
    </row>
    <row r="12" spans="1:19" ht="14.1" customHeight="1" x14ac:dyDescent="0.2">
      <c r="A12" s="215" t="s">
        <v>338</v>
      </c>
      <c r="B12" s="216">
        <f>SUM(L12-(L12*Capa!$C$1))</f>
        <v>265.68700000000001</v>
      </c>
      <c r="C12" s="216">
        <f>SUM(M12-(M12*Capa!$C$1))</f>
        <v>281.36950000000002</v>
      </c>
      <c r="D12" s="216">
        <f>SUM(N12-(N12*Capa!$C$1))</f>
        <v>297.05200000000002</v>
      </c>
      <c r="E12" s="216">
        <f>SUM(O12-(O12*Capa!$C$1))</f>
        <v>312.73450000000003</v>
      </c>
      <c r="F12" s="216">
        <f>SUM(P12-(P12*Capa!$C$1))</f>
        <v>328.41700000000003</v>
      </c>
      <c r="G12" s="216">
        <f>SUM(Q12-(Q12*Capa!$C$1))</f>
        <v>202.95700000000002</v>
      </c>
      <c r="H12" s="216">
        <f>SUM(R12-(R12*Capa!$C$1))</f>
        <v>202.95700000000002</v>
      </c>
      <c r="I12" s="193">
        <f>SUM(S12-(S12*Capa!$C$1))</f>
        <v>155.19999999999999</v>
      </c>
      <c r="K12" s="215" t="s">
        <v>338</v>
      </c>
      <c r="L12" s="338">
        <v>265.68700000000001</v>
      </c>
      <c r="M12" s="338">
        <v>281.36950000000002</v>
      </c>
      <c r="N12" s="338">
        <v>297.05200000000002</v>
      </c>
      <c r="O12" s="338">
        <v>312.73450000000003</v>
      </c>
      <c r="P12" s="338">
        <v>328.41700000000003</v>
      </c>
      <c r="Q12" s="338">
        <v>202.95700000000002</v>
      </c>
      <c r="R12" s="338">
        <v>202.95700000000002</v>
      </c>
      <c r="S12" s="193">
        <v>155.19999999999999</v>
      </c>
    </row>
    <row r="13" spans="1:19" ht="14.1" customHeight="1" x14ac:dyDescent="0.2">
      <c r="A13" s="27" t="s">
        <v>333</v>
      </c>
      <c r="B13" s="28">
        <f>SUM(L13-(L13*Capa!$C$1))</f>
        <v>294.70999999999998</v>
      </c>
      <c r="C13" s="28">
        <f>SUM(M13-(M13*Capa!$C$1))</f>
        <v>312.13499999999999</v>
      </c>
      <c r="D13" s="28">
        <f>SUM(N13-(N13*Capa!$C$1))</f>
        <v>329.56</v>
      </c>
      <c r="E13" s="28">
        <f>SUM(O13-(O13*Capa!$C$1))</f>
        <v>346.98500000000001</v>
      </c>
      <c r="F13" s="28">
        <f>SUM(P13-(P13*Capa!$C$1))</f>
        <v>364.40999999999997</v>
      </c>
      <c r="G13" s="28">
        <f>SUM(Q13-(Q13*Capa!$C$1))</f>
        <v>225.01</v>
      </c>
      <c r="H13" s="28">
        <f>SUM(R13-(R13*Capa!$C$1))</f>
        <v>225.01</v>
      </c>
      <c r="I13" s="170">
        <f>SUM(S13-(S13*Capa!$C$1))</f>
        <v>186.24</v>
      </c>
      <c r="K13" s="27" t="s">
        <v>333</v>
      </c>
      <c r="L13" s="60">
        <v>294.70999999999998</v>
      </c>
      <c r="M13" s="60">
        <v>312.13499999999999</v>
      </c>
      <c r="N13" s="60">
        <v>329.56</v>
      </c>
      <c r="O13" s="60">
        <v>346.98500000000001</v>
      </c>
      <c r="P13" s="60">
        <v>364.40999999999997</v>
      </c>
      <c r="Q13" s="60">
        <v>225.01</v>
      </c>
      <c r="R13" s="60">
        <v>225.01</v>
      </c>
      <c r="S13" s="170">
        <v>186.24</v>
      </c>
    </row>
    <row r="14" spans="1:19" ht="14.1" customHeight="1" x14ac:dyDescent="0.2">
      <c r="A14" s="215" t="s">
        <v>339</v>
      </c>
      <c r="B14" s="216">
        <f>SUM(L14-(L14*Capa!$C$1))</f>
        <v>315.96300000000002</v>
      </c>
      <c r="C14" s="216">
        <f>SUM(M14-(M14*Capa!$C$1))</f>
        <v>335.13050000000004</v>
      </c>
      <c r="D14" s="216">
        <f>SUM(N14-(N14*Capa!$C$1))</f>
        <v>354.298</v>
      </c>
      <c r="E14" s="216">
        <f>SUM(O14-(O14*Capa!$C$1))</f>
        <v>373.46550000000002</v>
      </c>
      <c r="F14" s="216">
        <f>SUM(P14-(P14*Capa!$C$1))</f>
        <v>392.63300000000004</v>
      </c>
      <c r="G14" s="216">
        <f>SUM(Q14-(Q14*Capa!$C$1))</f>
        <v>239.29300000000003</v>
      </c>
      <c r="H14" s="216">
        <f>SUM(R14-(R14*Capa!$C$1))</f>
        <v>239.29300000000003</v>
      </c>
      <c r="I14" s="193">
        <f>SUM(S14-(S14*Capa!$C$1))</f>
        <v>188.18</v>
      </c>
      <c r="K14" s="215" t="s">
        <v>339</v>
      </c>
      <c r="L14" s="338">
        <v>315.96300000000002</v>
      </c>
      <c r="M14" s="338">
        <v>335.13050000000004</v>
      </c>
      <c r="N14" s="338">
        <v>354.298</v>
      </c>
      <c r="O14" s="338">
        <v>373.46550000000002</v>
      </c>
      <c r="P14" s="338">
        <v>392.63300000000004</v>
      </c>
      <c r="Q14" s="338">
        <v>239.29300000000003</v>
      </c>
      <c r="R14" s="338">
        <v>239.29300000000003</v>
      </c>
      <c r="S14" s="193">
        <v>188.18</v>
      </c>
    </row>
    <row r="15" spans="1:19" ht="14.1" customHeight="1" x14ac:dyDescent="0.2">
      <c r="A15" s="27" t="s">
        <v>334</v>
      </c>
      <c r="B15" s="28">
        <f>SUM(L15-(L15*Capa!$C$1))</f>
        <v>339.35999999999996</v>
      </c>
      <c r="C15" s="28">
        <f>SUM(M15-(M15*Capa!$C$1))</f>
        <v>360.27</v>
      </c>
      <c r="D15" s="28">
        <f>SUM(N15-(N15*Capa!$C$1))</f>
        <v>381.17999999999995</v>
      </c>
      <c r="E15" s="28">
        <f>SUM(O15-(O15*Capa!$C$1))</f>
        <v>402.09</v>
      </c>
      <c r="F15" s="28">
        <f>SUM(P15-(P15*Capa!$C$1))</f>
        <v>423</v>
      </c>
      <c r="G15" s="28">
        <f>SUM(Q15-(Q15*Capa!$C$1))</f>
        <v>255.71999999999997</v>
      </c>
      <c r="H15" s="28">
        <f>SUM(R15-(R15*Capa!$C$1))</f>
        <v>255.71999999999997</v>
      </c>
      <c r="I15" s="170">
        <f>SUM(S15-(S15*Capa!$C$1))</f>
        <v>190.12</v>
      </c>
      <c r="K15" s="27" t="s">
        <v>334</v>
      </c>
      <c r="L15" s="60">
        <v>339.35999999999996</v>
      </c>
      <c r="M15" s="60">
        <v>360.27</v>
      </c>
      <c r="N15" s="60">
        <v>381.17999999999995</v>
      </c>
      <c r="O15" s="60">
        <v>402.09</v>
      </c>
      <c r="P15" s="60">
        <v>423</v>
      </c>
      <c r="Q15" s="60">
        <v>255.71999999999997</v>
      </c>
      <c r="R15" s="60">
        <v>255.71999999999997</v>
      </c>
      <c r="S15" s="170">
        <v>190.12</v>
      </c>
    </row>
    <row r="16" spans="1:19" s="5" customFormat="1" ht="20.100000000000001" customHeight="1" x14ac:dyDescent="0.25">
      <c r="A16" s="622" t="s">
        <v>857</v>
      </c>
      <c r="B16" s="623"/>
      <c r="C16" s="623"/>
      <c r="D16" s="623"/>
      <c r="E16" s="623"/>
      <c r="F16" s="623"/>
      <c r="G16" s="623"/>
      <c r="H16" s="623"/>
      <c r="I16" s="624"/>
      <c r="J16" s="332"/>
      <c r="K16" s="331"/>
      <c r="L16" s="331"/>
      <c r="M16" s="331"/>
      <c r="N16" s="331"/>
      <c r="O16" s="331"/>
      <c r="P16" s="331"/>
      <c r="Q16" s="331"/>
      <c r="R16" s="331"/>
      <c r="S16" s="331"/>
    </row>
    <row r="17" spans="1:19" s="5" customFormat="1" ht="20.100000000000001" customHeight="1" x14ac:dyDescent="0.25">
      <c r="A17" s="625" t="s">
        <v>718</v>
      </c>
      <c r="B17" s="626"/>
      <c r="C17" s="626"/>
      <c r="D17" s="626"/>
      <c r="E17" s="626"/>
      <c r="F17" s="626"/>
      <c r="G17" s="626"/>
      <c r="H17" s="626"/>
      <c r="I17" s="627"/>
      <c r="K17" s="331"/>
      <c r="L17" s="331"/>
      <c r="M17" s="331"/>
      <c r="N17" s="331"/>
      <c r="O17" s="331"/>
      <c r="P17" s="331"/>
      <c r="Q17" s="331"/>
      <c r="R17" s="331"/>
      <c r="S17" s="331"/>
    </row>
    <row r="18" spans="1:19" ht="14.1" customHeight="1" x14ac:dyDescent="0.2">
      <c r="A18" s="212" t="s">
        <v>435</v>
      </c>
      <c r="B18" s="238" t="s">
        <v>340</v>
      </c>
      <c r="C18" s="238" t="s">
        <v>341</v>
      </c>
      <c r="D18" s="238" t="s">
        <v>342</v>
      </c>
      <c r="E18" s="238" t="s">
        <v>343</v>
      </c>
      <c r="F18" s="217" t="s">
        <v>344</v>
      </c>
      <c r="G18" s="217" t="s">
        <v>597</v>
      </c>
      <c r="H18" s="217" t="s">
        <v>727</v>
      </c>
      <c r="I18" s="334" t="s">
        <v>436</v>
      </c>
      <c r="K18" s="212" t="s">
        <v>435</v>
      </c>
      <c r="L18" s="335" t="s">
        <v>340</v>
      </c>
      <c r="M18" s="335" t="s">
        <v>341</v>
      </c>
      <c r="N18" s="335" t="s">
        <v>342</v>
      </c>
      <c r="O18" s="335" t="s">
        <v>343</v>
      </c>
      <c r="P18" s="336" t="s">
        <v>344</v>
      </c>
      <c r="Q18" s="336" t="s">
        <v>597</v>
      </c>
      <c r="R18" s="336" t="s">
        <v>727</v>
      </c>
      <c r="S18" s="337" t="s">
        <v>436</v>
      </c>
    </row>
    <row r="19" spans="1:19" ht="14.1" customHeight="1" x14ac:dyDescent="0.2">
      <c r="A19" s="27" t="s">
        <v>329</v>
      </c>
      <c r="B19" s="28">
        <f>SUM(L19-(L19*Capa!$C$1))</f>
        <v>65.570000000000007</v>
      </c>
      <c r="C19" s="28">
        <f>SUM(M19-(M19*Capa!$C$1))</f>
        <v>69.055000000000007</v>
      </c>
      <c r="D19" s="28">
        <f>SUM(N19-(N19*Capa!$C$1))</f>
        <v>72.540000000000006</v>
      </c>
      <c r="E19" s="28">
        <f>SUM(O19-(O19*Capa!$C$1))</f>
        <v>76.025000000000006</v>
      </c>
      <c r="F19" s="28">
        <f>SUM(P19-(P19*Capa!$C$1))</f>
        <v>79.510000000000005</v>
      </c>
      <c r="G19" s="28">
        <f>SUM(Q19-(Q19*Capa!$C$1))</f>
        <v>51.63000000000001</v>
      </c>
      <c r="H19" s="28">
        <f>SUM(R19-(R19*Capa!$C$1))</f>
        <v>51.63000000000001</v>
      </c>
      <c r="I19" s="170">
        <f>SUM(S19-(S19*Capa!$C$1))</f>
        <v>41.71</v>
      </c>
      <c r="K19" s="27" t="s">
        <v>329</v>
      </c>
      <c r="L19" s="61">
        <v>65.570000000000007</v>
      </c>
      <c r="M19" s="61">
        <v>69.055000000000007</v>
      </c>
      <c r="N19" s="61">
        <v>72.540000000000006</v>
      </c>
      <c r="O19" s="61">
        <v>76.025000000000006</v>
      </c>
      <c r="P19" s="61">
        <v>79.510000000000005</v>
      </c>
      <c r="Q19" s="60">
        <v>51.63000000000001</v>
      </c>
      <c r="R19" s="60">
        <v>51.63000000000001</v>
      </c>
      <c r="S19" s="170">
        <v>41.71</v>
      </c>
    </row>
    <row r="20" spans="1:19" ht="14.1" customHeight="1" x14ac:dyDescent="0.2">
      <c r="A20" s="215" t="s">
        <v>335</v>
      </c>
      <c r="B20" s="216">
        <f>SUM(L20-(L20*Capa!$C$1))</f>
        <v>87.976999999999975</v>
      </c>
      <c r="C20" s="216">
        <f>SUM(M20-(M20*Capa!$C$1))</f>
        <v>93.204499999999982</v>
      </c>
      <c r="D20" s="216">
        <f>SUM(N20-(N20*Capa!$C$1))</f>
        <v>98.431999999999974</v>
      </c>
      <c r="E20" s="216">
        <f>SUM(O20-(O20*Capa!$C$1))</f>
        <v>103.65949999999998</v>
      </c>
      <c r="F20" s="216">
        <f>SUM(P20-(P20*Capa!$C$1))</f>
        <v>108.88699999999997</v>
      </c>
      <c r="G20" s="216">
        <f>SUM(Q20-(Q20*Capa!$C$1))</f>
        <v>67.066999999999979</v>
      </c>
      <c r="H20" s="216">
        <f>SUM(R20-(R20*Capa!$C$1))</f>
        <v>67.066999999999979</v>
      </c>
      <c r="I20" s="193">
        <f>SUM(S20-(S20*Capa!$C$1))</f>
        <v>54.32</v>
      </c>
      <c r="K20" s="215" t="s">
        <v>335</v>
      </c>
      <c r="L20" s="339">
        <v>87.976999999999975</v>
      </c>
      <c r="M20" s="339">
        <v>93.204499999999982</v>
      </c>
      <c r="N20" s="339">
        <v>98.431999999999974</v>
      </c>
      <c r="O20" s="339">
        <v>103.65949999999998</v>
      </c>
      <c r="P20" s="339">
        <v>108.88699999999997</v>
      </c>
      <c r="Q20" s="338">
        <v>67.066999999999979</v>
      </c>
      <c r="R20" s="338">
        <v>67.066999999999979</v>
      </c>
      <c r="S20" s="193">
        <v>54.32</v>
      </c>
    </row>
    <row r="21" spans="1:19" ht="14.1" customHeight="1" x14ac:dyDescent="0.2">
      <c r="A21" s="27" t="s">
        <v>330</v>
      </c>
      <c r="B21" s="28">
        <f>SUM(L21-(L21*Capa!$C$1))</f>
        <v>112.93600000000001</v>
      </c>
      <c r="C21" s="28">
        <f>SUM(M21-(M21*Capa!$C$1))</f>
        <v>119.90600000000001</v>
      </c>
      <c r="D21" s="28">
        <f>SUM(N21-(N21*Capa!$C$1))</f>
        <v>126.876</v>
      </c>
      <c r="E21" s="28">
        <f>SUM(O21-(O21*Capa!$C$1))</f>
        <v>133.846</v>
      </c>
      <c r="F21" s="28">
        <f>SUM(P21-(P21*Capa!$C$1))</f>
        <v>140.816</v>
      </c>
      <c r="G21" s="28">
        <f>SUM(Q21-(Q21*Capa!$C$1))</f>
        <v>85.056000000000012</v>
      </c>
      <c r="H21" s="28">
        <f>SUM(R21-(R21*Capa!$C$1))</f>
        <v>85.056000000000012</v>
      </c>
      <c r="I21" s="170">
        <f>SUM(S21-(S21*Capa!$C$1))</f>
        <v>68.87</v>
      </c>
      <c r="K21" s="27" t="s">
        <v>330</v>
      </c>
      <c r="L21" s="61">
        <v>112.93600000000001</v>
      </c>
      <c r="M21" s="61">
        <v>119.90600000000001</v>
      </c>
      <c r="N21" s="61">
        <v>126.876</v>
      </c>
      <c r="O21" s="61">
        <v>133.846</v>
      </c>
      <c r="P21" s="61">
        <v>140.816</v>
      </c>
      <c r="Q21" s="60">
        <v>85.056000000000012</v>
      </c>
      <c r="R21" s="60">
        <v>85.056000000000012</v>
      </c>
      <c r="S21" s="170">
        <v>68.87</v>
      </c>
    </row>
    <row r="22" spans="1:19" ht="14.1" customHeight="1" x14ac:dyDescent="0.2">
      <c r="A22" s="215" t="s">
        <v>336</v>
      </c>
      <c r="B22" s="216">
        <f>SUM(L22-(L22*Capa!$C$1))</f>
        <v>135.13499999999999</v>
      </c>
      <c r="C22" s="216">
        <f>SUM(M22-(M22*Capa!$C$1))</f>
        <v>143.8475</v>
      </c>
      <c r="D22" s="216">
        <f>SUM(N22-(N22*Capa!$C$1))</f>
        <v>152.56</v>
      </c>
      <c r="E22" s="216">
        <f>SUM(O22-(O22*Capa!$C$1))</f>
        <v>161.27249999999998</v>
      </c>
      <c r="F22" s="216">
        <f>SUM(P22-(P22*Capa!$C$1))</f>
        <v>169.98500000000001</v>
      </c>
      <c r="G22" s="216">
        <f>SUM(Q22-(Q22*Capa!$C$1))</f>
        <v>100.285</v>
      </c>
      <c r="H22" s="216">
        <f>SUM(R22-(R22*Capa!$C$1))</f>
        <v>100.285</v>
      </c>
      <c r="I22" s="193">
        <f>SUM(S22-(S22*Capa!$C$1))</f>
        <v>80.510000000000005</v>
      </c>
      <c r="K22" s="215" t="s">
        <v>336</v>
      </c>
      <c r="L22" s="339">
        <v>135.13499999999999</v>
      </c>
      <c r="M22" s="339">
        <v>143.8475</v>
      </c>
      <c r="N22" s="339">
        <v>152.56</v>
      </c>
      <c r="O22" s="339">
        <v>161.27249999999998</v>
      </c>
      <c r="P22" s="339">
        <v>169.98500000000001</v>
      </c>
      <c r="Q22" s="338">
        <v>100.285</v>
      </c>
      <c r="R22" s="338">
        <v>100.285</v>
      </c>
      <c r="S22" s="193">
        <v>80.510000000000005</v>
      </c>
    </row>
    <row r="23" spans="1:19" ht="14.1" customHeight="1" x14ac:dyDescent="0.2">
      <c r="A23" s="27" t="s">
        <v>331</v>
      </c>
      <c r="B23" s="28">
        <f>SUM(L23-(L23*Capa!$C$1))</f>
        <v>159.50399999999999</v>
      </c>
      <c r="C23" s="28">
        <f>SUM(M23-(M23*Capa!$C$1))</f>
        <v>169.959</v>
      </c>
      <c r="D23" s="28">
        <f>SUM(N23-(N23*Capa!$C$1))</f>
        <v>180.41399999999999</v>
      </c>
      <c r="E23" s="28">
        <f>SUM(O23-(O23*Capa!$C$1))</f>
        <v>190.869</v>
      </c>
      <c r="F23" s="28">
        <f>SUM(P23-(P23*Capa!$C$1))</f>
        <v>201.32400000000001</v>
      </c>
      <c r="G23" s="28">
        <f>SUM(Q23-(Q23*Capa!$C$1))</f>
        <v>117.684</v>
      </c>
      <c r="H23" s="28">
        <f>SUM(R23-(R23*Capa!$C$1))</f>
        <v>117.684</v>
      </c>
      <c r="I23" s="170">
        <f>SUM(S23-(S23*Capa!$C$1))</f>
        <v>95.06</v>
      </c>
      <c r="K23" s="27" t="s">
        <v>331</v>
      </c>
      <c r="L23" s="61">
        <v>159.50399999999999</v>
      </c>
      <c r="M23" s="61">
        <v>169.959</v>
      </c>
      <c r="N23" s="61">
        <v>180.41399999999999</v>
      </c>
      <c r="O23" s="61">
        <v>190.869</v>
      </c>
      <c r="P23" s="61">
        <v>201.32400000000001</v>
      </c>
      <c r="Q23" s="60">
        <v>117.684</v>
      </c>
      <c r="R23" s="60">
        <v>117.684</v>
      </c>
      <c r="S23" s="170">
        <v>95.06</v>
      </c>
    </row>
    <row r="24" spans="1:19" ht="14.1" customHeight="1" x14ac:dyDescent="0.2">
      <c r="A24" s="215" t="s">
        <v>337</v>
      </c>
      <c r="B24" s="216">
        <f>SUM(L24-(L24*Capa!$C$1))</f>
        <v>182.08699999999999</v>
      </c>
      <c r="C24" s="216">
        <f>SUM(M24-(M24*Capa!$C$1))</f>
        <v>194.28449999999998</v>
      </c>
      <c r="D24" s="216">
        <f>SUM(N24-(N24*Capa!$C$1))</f>
        <v>206.482</v>
      </c>
      <c r="E24" s="216">
        <f>SUM(O24-(O24*Capa!$C$1))</f>
        <v>218.67949999999999</v>
      </c>
      <c r="F24" s="216">
        <f>SUM(P24-(P24*Capa!$C$1))</f>
        <v>230.87700000000001</v>
      </c>
      <c r="G24" s="216">
        <f>SUM(Q24-(Q24*Capa!$C$1))</f>
        <v>133.297</v>
      </c>
      <c r="H24" s="216">
        <f>SUM(R24-(R24*Capa!$C$1))</f>
        <v>133.297</v>
      </c>
      <c r="I24" s="193">
        <f>SUM(S24-(S24*Capa!$C$1))</f>
        <v>107.67</v>
      </c>
      <c r="K24" s="215" t="s">
        <v>337</v>
      </c>
      <c r="L24" s="339">
        <v>182.08699999999999</v>
      </c>
      <c r="M24" s="339">
        <v>194.28449999999998</v>
      </c>
      <c r="N24" s="339">
        <v>206.482</v>
      </c>
      <c r="O24" s="339">
        <v>218.67949999999999</v>
      </c>
      <c r="P24" s="339">
        <v>230.87700000000001</v>
      </c>
      <c r="Q24" s="338">
        <v>133.297</v>
      </c>
      <c r="R24" s="338">
        <v>133.297</v>
      </c>
      <c r="S24" s="193">
        <v>107.67</v>
      </c>
    </row>
    <row r="25" spans="1:19" ht="14.1" customHeight="1" x14ac:dyDescent="0.2">
      <c r="A25" s="27" t="s">
        <v>332</v>
      </c>
      <c r="B25" s="28">
        <f>SUM(L25-(L25*Capa!$C$1))</f>
        <v>207.03399999999996</v>
      </c>
      <c r="C25" s="28">
        <f>SUM(M25-(M25*Capa!$C$1))</f>
        <v>220.97399999999999</v>
      </c>
      <c r="D25" s="28">
        <f>SUM(N25-(N25*Capa!$C$1))</f>
        <v>234.91399999999999</v>
      </c>
      <c r="E25" s="28">
        <f>SUM(O25-(O25*Capa!$C$1))</f>
        <v>248.85399999999998</v>
      </c>
      <c r="F25" s="28">
        <f>SUM(P25-(P25*Capa!$C$1))</f>
        <v>262.79399999999998</v>
      </c>
      <c r="G25" s="28">
        <f>SUM(Q25-(Q25*Capa!$C$1))</f>
        <v>151.27399999999997</v>
      </c>
      <c r="H25" s="28">
        <f>SUM(R25-(R25*Capa!$C$1))</f>
        <v>151.27399999999997</v>
      </c>
      <c r="I25" s="170">
        <f>SUM(S25-(S25*Capa!$C$1))</f>
        <v>122.22</v>
      </c>
      <c r="K25" s="27" t="s">
        <v>332</v>
      </c>
      <c r="L25" s="61">
        <v>207.03399999999996</v>
      </c>
      <c r="M25" s="61">
        <v>220.97399999999999</v>
      </c>
      <c r="N25" s="61">
        <v>234.91399999999999</v>
      </c>
      <c r="O25" s="61">
        <v>248.85399999999998</v>
      </c>
      <c r="P25" s="61">
        <v>262.79399999999998</v>
      </c>
      <c r="Q25" s="60">
        <v>151.27399999999997</v>
      </c>
      <c r="R25" s="60">
        <v>151.27399999999997</v>
      </c>
      <c r="S25" s="170">
        <v>122.22</v>
      </c>
    </row>
    <row r="26" spans="1:19" ht="14.1" customHeight="1" x14ac:dyDescent="0.2">
      <c r="A26" s="215" t="s">
        <v>338</v>
      </c>
      <c r="B26" s="216">
        <f>SUM(L26-(L26*Capa!$C$1))</f>
        <v>229.095</v>
      </c>
      <c r="C26" s="216">
        <f>SUM(M26-(M26*Capa!$C$1))</f>
        <v>244.7775</v>
      </c>
      <c r="D26" s="216">
        <f>SUM(N26-(N26*Capa!$C$1))</f>
        <v>260.46000000000004</v>
      </c>
      <c r="E26" s="216">
        <f>SUM(O26-(O26*Capa!$C$1))</f>
        <v>276.14249999999998</v>
      </c>
      <c r="F26" s="216">
        <f>SUM(P26-(P26*Capa!$C$1))</f>
        <v>291.82499999999999</v>
      </c>
      <c r="G26" s="216">
        <f>SUM(Q26-(Q26*Capa!$C$1))</f>
        <v>166.36500000000001</v>
      </c>
      <c r="H26" s="216">
        <f>SUM(R26-(R26*Capa!$C$1))</f>
        <v>166.36500000000001</v>
      </c>
      <c r="I26" s="193">
        <f>SUM(S26-(S26*Capa!$C$1))</f>
        <v>133.86000000000001</v>
      </c>
      <c r="K26" s="215" t="s">
        <v>338</v>
      </c>
      <c r="L26" s="339">
        <v>229.095</v>
      </c>
      <c r="M26" s="339">
        <v>244.7775</v>
      </c>
      <c r="N26" s="339">
        <v>260.46000000000004</v>
      </c>
      <c r="O26" s="339">
        <v>276.14249999999998</v>
      </c>
      <c r="P26" s="339">
        <v>291.82499999999999</v>
      </c>
      <c r="Q26" s="338">
        <v>166.36500000000001</v>
      </c>
      <c r="R26" s="338">
        <v>166.36500000000001</v>
      </c>
      <c r="S26" s="193">
        <v>133.86000000000001</v>
      </c>
    </row>
    <row r="27" spans="1:19" ht="14.1" customHeight="1" x14ac:dyDescent="0.2">
      <c r="A27" s="27" t="s">
        <v>333</v>
      </c>
      <c r="B27" s="28">
        <f>SUM(L27-(L27*Capa!$C$1))</f>
        <v>258.45800000000003</v>
      </c>
      <c r="C27" s="28">
        <f>SUM(M27-(M27*Capa!$C$1))</f>
        <v>275.88300000000004</v>
      </c>
      <c r="D27" s="28">
        <f>SUM(N27-(N27*Capa!$C$1))</f>
        <v>293.30799999999999</v>
      </c>
      <c r="E27" s="28">
        <f>SUM(O27-(O27*Capa!$C$1))</f>
        <v>310.733</v>
      </c>
      <c r="F27" s="28">
        <f>SUM(P27-(P27*Capa!$C$1))</f>
        <v>328.15800000000002</v>
      </c>
      <c r="G27" s="28">
        <f>SUM(Q27-(Q27*Capa!$C$1))</f>
        <v>188.75800000000001</v>
      </c>
      <c r="H27" s="28">
        <f>SUM(R27-(R27*Capa!$C$1))</f>
        <v>188.75800000000001</v>
      </c>
      <c r="I27" s="170">
        <f>SUM(S27-(S27*Capa!$C$1))</f>
        <v>149.38</v>
      </c>
      <c r="K27" s="27" t="s">
        <v>333</v>
      </c>
      <c r="L27" s="61">
        <v>258.45800000000003</v>
      </c>
      <c r="M27" s="61">
        <v>275.88300000000004</v>
      </c>
      <c r="N27" s="61">
        <v>293.30799999999999</v>
      </c>
      <c r="O27" s="61">
        <v>310.733</v>
      </c>
      <c r="P27" s="61">
        <v>328.15800000000002</v>
      </c>
      <c r="Q27" s="60">
        <v>188.75800000000001</v>
      </c>
      <c r="R27" s="60">
        <v>188.75800000000001</v>
      </c>
      <c r="S27" s="170">
        <v>149.38</v>
      </c>
    </row>
    <row r="28" spans="1:19" ht="14.1" customHeight="1" x14ac:dyDescent="0.2">
      <c r="A28" s="215" t="s">
        <v>339</v>
      </c>
      <c r="B28" s="216">
        <f>SUM(L28-(L28*Capa!$C$1))</f>
        <v>279.70100000000002</v>
      </c>
      <c r="C28" s="216">
        <f>SUM(M28-(M28*Capa!$C$1))</f>
        <v>298.86849999999998</v>
      </c>
      <c r="D28" s="216">
        <f>SUM(N28-(N28*Capa!$C$1))</f>
        <v>318.036</v>
      </c>
      <c r="E28" s="216">
        <f>SUM(O28-(O28*Capa!$C$1))</f>
        <v>337.20349999999996</v>
      </c>
      <c r="F28" s="216">
        <f>SUM(P28-(P28*Capa!$C$1))</f>
        <v>356.37099999999998</v>
      </c>
      <c r="G28" s="216">
        <f>SUM(Q28-(Q28*Capa!$C$1))</f>
        <v>203.03100000000001</v>
      </c>
      <c r="H28" s="216">
        <f>SUM(R28-(R28*Capa!$C$1))</f>
        <v>203.03100000000001</v>
      </c>
      <c r="I28" s="193">
        <f>SUM(S28-(S28*Capa!$C$1))</f>
        <v>162.47</v>
      </c>
      <c r="K28" s="215" t="s">
        <v>339</v>
      </c>
      <c r="L28" s="339">
        <v>279.70100000000002</v>
      </c>
      <c r="M28" s="339">
        <v>298.86849999999998</v>
      </c>
      <c r="N28" s="339">
        <v>318.036</v>
      </c>
      <c r="O28" s="339">
        <v>337.20349999999996</v>
      </c>
      <c r="P28" s="339">
        <v>356.37099999999998</v>
      </c>
      <c r="Q28" s="338">
        <v>203.03100000000001</v>
      </c>
      <c r="R28" s="338">
        <v>203.03100000000001</v>
      </c>
      <c r="S28" s="193">
        <v>162.47</v>
      </c>
    </row>
    <row r="29" spans="1:19" ht="14.1" customHeight="1" x14ac:dyDescent="0.2">
      <c r="A29" s="27" t="s">
        <v>334</v>
      </c>
      <c r="B29" s="28">
        <f>SUM(L29-(L29*Capa!$C$1))</f>
        <v>300.94799999999998</v>
      </c>
      <c r="C29" s="28">
        <f>SUM(M29-(M29*Capa!$C$1))</f>
        <v>321.858</v>
      </c>
      <c r="D29" s="28">
        <f>SUM(N29-(N29*Capa!$C$1))</f>
        <v>342.76799999999997</v>
      </c>
      <c r="E29" s="28">
        <f>SUM(O29-(O29*Capa!$C$1))</f>
        <v>363.678</v>
      </c>
      <c r="F29" s="28">
        <f>SUM(P29-(P29*Capa!$C$1))</f>
        <v>384.58799999999997</v>
      </c>
      <c r="G29" s="28">
        <f>SUM(Q29-(Q29*Capa!$C$1))</f>
        <v>217.30799999999999</v>
      </c>
      <c r="H29" s="28">
        <f>SUM(R29-(R29*Capa!$C$1))</f>
        <v>217.30799999999999</v>
      </c>
      <c r="I29" s="170">
        <f>SUM(S29-(S29*Capa!$C$1))</f>
        <v>175.57</v>
      </c>
      <c r="K29" s="27" t="s">
        <v>334</v>
      </c>
      <c r="L29" s="61">
        <v>300.94799999999998</v>
      </c>
      <c r="M29" s="61">
        <v>321.858</v>
      </c>
      <c r="N29" s="61">
        <v>342.76799999999997</v>
      </c>
      <c r="O29" s="61">
        <v>363.678</v>
      </c>
      <c r="P29" s="61">
        <v>384.58799999999997</v>
      </c>
      <c r="Q29" s="60">
        <v>217.30799999999999</v>
      </c>
      <c r="R29" s="60">
        <v>217.30799999999999</v>
      </c>
      <c r="S29" s="170">
        <v>175.57</v>
      </c>
    </row>
    <row r="30" spans="1:19" s="331" customFormat="1" ht="20.100000000000001" customHeight="1" x14ac:dyDescent="0.2">
      <c r="A30" s="622" t="s">
        <v>451</v>
      </c>
      <c r="B30" s="623"/>
      <c r="C30" s="623"/>
      <c r="D30" s="623"/>
      <c r="E30" s="623"/>
      <c r="F30" s="623"/>
      <c r="G30" s="623"/>
      <c r="H30" s="623"/>
      <c r="I30" s="624"/>
      <c r="J30" s="333"/>
    </row>
    <row r="31" spans="1:19" ht="12.75" customHeight="1" x14ac:dyDescent="0.2">
      <c r="A31" s="57" t="s">
        <v>631</v>
      </c>
      <c r="B31" s="553" t="s">
        <v>751</v>
      </c>
      <c r="C31" s="553"/>
      <c r="D31" s="553"/>
      <c r="E31" s="553"/>
      <c r="F31" s="553"/>
      <c r="G31" s="553"/>
      <c r="H31" s="553"/>
      <c r="I31" s="58">
        <f>'Wave-Square-Retangular'!G18</f>
        <v>9.66</v>
      </c>
      <c r="J31" s="63"/>
      <c r="K31" s="64"/>
    </row>
    <row r="32" spans="1:19" ht="12.75" customHeight="1" x14ac:dyDescent="0.2">
      <c r="A32" s="316" t="s">
        <v>327</v>
      </c>
      <c r="B32" s="552" t="s">
        <v>499</v>
      </c>
      <c r="C32" s="552"/>
      <c r="D32" s="552"/>
      <c r="E32" s="552"/>
      <c r="F32" s="552"/>
      <c r="G32" s="552"/>
      <c r="H32" s="552"/>
      <c r="I32" s="244">
        <f>'Wave-Square-Retangular'!G19</f>
        <v>9.66</v>
      </c>
      <c r="J32" s="63"/>
      <c r="K32" s="64"/>
    </row>
    <row r="33" spans="1:11" ht="12.75" customHeight="1" x14ac:dyDescent="0.2">
      <c r="A33" s="57" t="s">
        <v>632</v>
      </c>
      <c r="B33" s="553" t="s">
        <v>750</v>
      </c>
      <c r="C33" s="553"/>
      <c r="D33" s="553"/>
      <c r="E33" s="553"/>
      <c r="F33" s="553"/>
      <c r="G33" s="553"/>
      <c r="H33" s="553"/>
      <c r="I33" s="58">
        <f>'Wave-Square-Retangular'!G20</f>
        <v>14.7</v>
      </c>
      <c r="J33" s="63"/>
      <c r="K33" s="64"/>
    </row>
    <row r="34" spans="1:11" ht="12.75" customHeight="1" x14ac:dyDescent="0.2">
      <c r="A34" s="316" t="s">
        <v>346</v>
      </c>
      <c r="B34" s="552" t="s">
        <v>500</v>
      </c>
      <c r="C34" s="552"/>
      <c r="D34" s="552"/>
      <c r="E34" s="552"/>
      <c r="F34" s="552"/>
      <c r="G34" s="552"/>
      <c r="H34" s="552"/>
      <c r="I34" s="244">
        <f>'Wave-Square-Retangular'!G21</f>
        <v>14.7</v>
      </c>
      <c r="J34" s="63"/>
      <c r="K34" s="64"/>
    </row>
    <row r="35" spans="1:11" ht="12.75" customHeight="1" x14ac:dyDescent="0.2">
      <c r="A35" s="57" t="s">
        <v>641</v>
      </c>
      <c r="B35" s="553" t="s">
        <v>752</v>
      </c>
      <c r="C35" s="553"/>
      <c r="D35" s="553"/>
      <c r="E35" s="553"/>
      <c r="F35" s="553"/>
      <c r="G35" s="553"/>
      <c r="H35" s="553"/>
      <c r="I35" s="58">
        <f>'Wave-Square-Retangular'!G22</f>
        <v>4.74</v>
      </c>
      <c r="J35" s="63"/>
      <c r="K35" s="64"/>
    </row>
    <row r="36" spans="1:11" ht="12.75" customHeight="1" x14ac:dyDescent="0.2">
      <c r="A36" s="316" t="s">
        <v>299</v>
      </c>
      <c r="B36" s="552" t="s">
        <v>753</v>
      </c>
      <c r="C36" s="552"/>
      <c r="D36" s="552"/>
      <c r="E36" s="552"/>
      <c r="F36" s="552"/>
      <c r="G36" s="552"/>
      <c r="H36" s="552"/>
      <c r="I36" s="244">
        <f>'Wave-Square-Retangular'!G23</f>
        <v>4.74</v>
      </c>
      <c r="J36" s="63"/>
      <c r="K36" s="64"/>
    </row>
    <row r="37" spans="1:11" ht="12.75" customHeight="1" x14ac:dyDescent="0.2">
      <c r="A37" s="57" t="s">
        <v>640</v>
      </c>
      <c r="B37" s="553" t="s">
        <v>754</v>
      </c>
      <c r="C37" s="553"/>
      <c r="D37" s="553"/>
      <c r="E37" s="553"/>
      <c r="F37" s="553"/>
      <c r="G37" s="553"/>
      <c r="H37" s="553"/>
      <c r="I37" s="58">
        <f>'Wave-Square-Retangular'!G24</f>
        <v>7.59</v>
      </c>
      <c r="J37" s="63"/>
      <c r="K37" s="64"/>
    </row>
    <row r="38" spans="1:11" ht="12.75" customHeight="1" x14ac:dyDescent="0.2">
      <c r="A38" s="316" t="s">
        <v>300</v>
      </c>
      <c r="B38" s="552" t="s">
        <v>755</v>
      </c>
      <c r="C38" s="552"/>
      <c r="D38" s="552"/>
      <c r="E38" s="552"/>
      <c r="F38" s="552"/>
      <c r="G38" s="552"/>
      <c r="H38" s="552"/>
      <c r="I38" s="244">
        <f>'Wave-Square-Retangular'!G25</f>
        <v>7.59</v>
      </c>
      <c r="J38" s="63"/>
      <c r="K38" s="64"/>
    </row>
    <row r="39" spans="1:11" ht="12.75" customHeight="1" x14ac:dyDescent="0.2">
      <c r="A39" s="316" t="s">
        <v>514</v>
      </c>
      <c r="B39" s="552" t="s">
        <v>635</v>
      </c>
      <c r="C39" s="552"/>
      <c r="D39" s="552"/>
      <c r="E39" s="552"/>
      <c r="F39" s="552"/>
      <c r="G39" s="552"/>
      <c r="H39" s="552"/>
      <c r="I39" s="244">
        <f>'Wave-Square-Retangular'!G29</f>
        <v>11.5</v>
      </c>
      <c r="J39" s="63"/>
      <c r="K39" s="64"/>
    </row>
    <row r="40" spans="1:11" ht="12.75" customHeight="1" x14ac:dyDescent="0.2">
      <c r="A40" s="57" t="s">
        <v>626</v>
      </c>
      <c r="B40" s="553" t="s">
        <v>627</v>
      </c>
      <c r="C40" s="553"/>
      <c r="D40" s="553"/>
      <c r="E40" s="553"/>
      <c r="F40" s="553"/>
      <c r="G40" s="553"/>
      <c r="H40" s="553"/>
      <c r="I40" s="58">
        <f>'Wave-Square-Retangular'!G30</f>
        <v>9.66</v>
      </c>
      <c r="J40" s="63"/>
      <c r="K40" s="64"/>
    </row>
    <row r="41" spans="1:11" ht="12.75" customHeight="1" x14ac:dyDescent="0.2">
      <c r="A41" s="316" t="s">
        <v>283</v>
      </c>
      <c r="B41" s="552" t="s">
        <v>370</v>
      </c>
      <c r="C41" s="552"/>
      <c r="D41" s="552"/>
      <c r="E41" s="552"/>
      <c r="F41" s="552"/>
      <c r="G41" s="552"/>
      <c r="H41" s="552"/>
      <c r="I41" s="244">
        <f>'Wave-Square-Retangular'!G31</f>
        <v>29.36</v>
      </c>
      <c r="J41" s="63"/>
      <c r="K41" s="64"/>
    </row>
    <row r="42" spans="1:11" ht="12.75" customHeight="1" x14ac:dyDescent="0.2">
      <c r="A42" s="57" t="s">
        <v>315</v>
      </c>
      <c r="B42" s="553" t="s">
        <v>371</v>
      </c>
      <c r="C42" s="553"/>
      <c r="D42" s="553"/>
      <c r="E42" s="553"/>
      <c r="F42" s="553"/>
      <c r="G42" s="553"/>
      <c r="H42" s="553"/>
      <c r="I42" s="58">
        <f>'Wave-Square-Retangular'!G32</f>
        <v>45.23</v>
      </c>
      <c r="J42" s="63"/>
      <c r="K42" s="64"/>
    </row>
    <row r="43" spans="1:11" s="24" customFormat="1" ht="20.100000000000001" customHeight="1" x14ac:dyDescent="0.2">
      <c r="A43" s="622" t="s">
        <v>456</v>
      </c>
      <c r="B43" s="623"/>
      <c r="C43" s="623"/>
      <c r="D43" s="623"/>
      <c r="E43" s="623"/>
      <c r="F43" s="623"/>
      <c r="G43" s="623"/>
      <c r="H43" s="623"/>
      <c r="I43" s="624"/>
      <c r="J43" s="62"/>
    </row>
    <row r="44" spans="1:11" ht="12.75" customHeight="1" x14ac:dyDescent="0.2">
      <c r="A44" s="57" t="s">
        <v>359</v>
      </c>
      <c r="B44" s="553" t="s">
        <v>457</v>
      </c>
      <c r="C44" s="553"/>
      <c r="D44" s="553"/>
      <c r="E44" s="553"/>
      <c r="F44" s="553"/>
      <c r="G44" s="553"/>
      <c r="H44" s="553"/>
      <c r="I44" s="58">
        <f>'Wave-Square-Retangular'!F63</f>
        <v>11.95</v>
      </c>
      <c r="J44" s="63"/>
      <c r="K44" s="64"/>
    </row>
    <row r="45" spans="1:11" ht="12.75" customHeight="1" x14ac:dyDescent="0.2">
      <c r="A45" s="316" t="s">
        <v>513</v>
      </c>
      <c r="B45" s="552" t="s">
        <v>512</v>
      </c>
      <c r="C45" s="552"/>
      <c r="D45" s="552"/>
      <c r="E45" s="552"/>
      <c r="F45" s="552"/>
      <c r="G45" s="552"/>
      <c r="H45" s="552"/>
      <c r="I45" s="244">
        <f>'Wave-Square-Retangular'!F64</f>
        <v>19.98</v>
      </c>
      <c r="J45" s="63"/>
      <c r="K45" s="64"/>
    </row>
    <row r="46" spans="1:11" x14ac:dyDescent="0.2">
      <c r="A46" s="628"/>
      <c r="B46" s="629"/>
      <c r="C46" s="629"/>
      <c r="D46" s="629"/>
      <c r="E46" s="629"/>
      <c r="F46" s="629"/>
      <c r="G46" s="632" t="s">
        <v>855</v>
      </c>
      <c r="H46" s="633"/>
      <c r="I46" s="634"/>
      <c r="K46" s="64"/>
    </row>
    <row r="47" spans="1:11" x14ac:dyDescent="0.2">
      <c r="A47" s="628"/>
      <c r="B47" s="629"/>
      <c r="C47" s="629"/>
      <c r="D47" s="629"/>
      <c r="E47" s="629"/>
      <c r="F47" s="629"/>
      <c r="G47" s="633"/>
      <c r="H47" s="633"/>
      <c r="I47" s="634"/>
      <c r="K47" s="64"/>
    </row>
    <row r="48" spans="1:11" x14ac:dyDescent="0.2">
      <c r="A48" s="628"/>
      <c r="B48" s="629"/>
      <c r="C48" s="629"/>
      <c r="D48" s="629"/>
      <c r="E48" s="629"/>
      <c r="F48" s="629"/>
      <c r="G48" s="633"/>
      <c r="H48" s="633"/>
      <c r="I48" s="634"/>
      <c r="K48" s="64"/>
    </row>
    <row r="49" spans="1:250" x14ac:dyDescent="0.2">
      <c r="A49" s="628"/>
      <c r="B49" s="629"/>
      <c r="C49" s="629"/>
      <c r="D49" s="629"/>
      <c r="E49" s="629"/>
      <c r="F49" s="629"/>
      <c r="G49" s="633"/>
      <c r="H49" s="633"/>
      <c r="I49" s="634"/>
      <c r="K49" s="64"/>
    </row>
    <row r="50" spans="1:250" x14ac:dyDescent="0.2">
      <c r="A50" s="628"/>
      <c r="B50" s="629"/>
      <c r="C50" s="629"/>
      <c r="D50" s="629"/>
      <c r="E50" s="629"/>
      <c r="F50" s="629"/>
      <c r="G50" s="633"/>
      <c r="H50" s="633"/>
      <c r="I50" s="634"/>
      <c r="K50" s="64"/>
    </row>
    <row r="51" spans="1:250" x14ac:dyDescent="0.2">
      <c r="A51" s="628"/>
      <c r="B51" s="629"/>
      <c r="C51" s="629"/>
      <c r="D51" s="629"/>
      <c r="E51" s="629"/>
      <c r="F51" s="629"/>
      <c r="G51" s="633"/>
      <c r="H51" s="633"/>
      <c r="I51" s="634"/>
    </row>
    <row r="52" spans="1:250" x14ac:dyDescent="0.2">
      <c r="A52" s="628"/>
      <c r="B52" s="629"/>
      <c r="C52" s="629"/>
      <c r="D52" s="629"/>
      <c r="E52" s="629"/>
      <c r="F52" s="629"/>
      <c r="G52" s="633"/>
      <c r="H52" s="633"/>
      <c r="I52" s="634"/>
    </row>
    <row r="53" spans="1:250" x14ac:dyDescent="0.2">
      <c r="A53" s="628"/>
      <c r="B53" s="629"/>
      <c r="C53" s="629"/>
      <c r="D53" s="629"/>
      <c r="E53" s="629"/>
      <c r="F53" s="629"/>
      <c r="G53" s="633"/>
      <c r="H53" s="633"/>
      <c r="I53" s="634"/>
    </row>
    <row r="54" spans="1:250" x14ac:dyDescent="0.2">
      <c r="A54" s="628"/>
      <c r="B54" s="629"/>
      <c r="C54" s="629"/>
      <c r="D54" s="629"/>
      <c r="E54" s="629"/>
      <c r="F54" s="629"/>
      <c r="G54" s="633"/>
      <c r="H54" s="633"/>
      <c r="I54" s="634"/>
    </row>
    <row r="55" spans="1:250" x14ac:dyDescent="0.2">
      <c r="A55" s="628"/>
      <c r="B55" s="629"/>
      <c r="C55" s="629"/>
      <c r="D55" s="629"/>
      <c r="E55" s="629"/>
      <c r="F55" s="629"/>
      <c r="G55" s="633"/>
      <c r="H55" s="633"/>
      <c r="I55" s="634"/>
    </row>
    <row r="56" spans="1:250" s="228" customFormat="1" ht="30" customHeight="1" thickBot="1" x14ac:dyDescent="0.25">
      <c r="A56" s="630"/>
      <c r="B56" s="631"/>
      <c r="C56" s="631"/>
      <c r="D56" s="631"/>
      <c r="E56" s="631"/>
      <c r="F56" s="631"/>
      <c r="G56" s="635"/>
      <c r="H56" s="635"/>
      <c r="I56" s="636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49"/>
      <c r="FN56" s="49"/>
      <c r="FO56" s="49"/>
      <c r="FP56" s="49"/>
      <c r="FQ56" s="49"/>
      <c r="FR56" s="49"/>
      <c r="FS56" s="49"/>
      <c r="FT56" s="49"/>
      <c r="FU56" s="49"/>
      <c r="FV56" s="49"/>
      <c r="FW56" s="49"/>
      <c r="FX56" s="49"/>
      <c r="FY56" s="49"/>
      <c r="FZ56" s="49"/>
      <c r="GA56" s="49"/>
      <c r="GB56" s="49"/>
      <c r="GC56" s="49"/>
      <c r="GD56" s="49"/>
      <c r="GE56" s="49"/>
      <c r="GF56" s="49"/>
      <c r="GG56" s="49"/>
      <c r="GH56" s="49"/>
      <c r="GI56" s="49"/>
      <c r="GJ56" s="49"/>
      <c r="GK56" s="49"/>
      <c r="GL56" s="49"/>
      <c r="GM56" s="49"/>
      <c r="GN56" s="49"/>
      <c r="GO56" s="49"/>
      <c r="GP56" s="49"/>
      <c r="GQ56" s="49"/>
      <c r="GR56" s="49"/>
      <c r="GS56" s="49"/>
      <c r="GT56" s="49"/>
      <c r="GU56" s="49"/>
      <c r="GV56" s="49"/>
      <c r="GW56" s="49"/>
      <c r="GX56" s="49"/>
      <c r="GY56" s="49"/>
      <c r="GZ56" s="49"/>
      <c r="HA56" s="49"/>
      <c r="HB56" s="49"/>
      <c r="HC56" s="49"/>
      <c r="HD56" s="49"/>
      <c r="HE56" s="49"/>
      <c r="HF56" s="49"/>
      <c r="HG56" s="49"/>
      <c r="HH56" s="49"/>
      <c r="HI56" s="49"/>
      <c r="HJ56" s="49"/>
      <c r="HK56" s="49"/>
      <c r="HL56" s="49"/>
      <c r="HM56" s="49"/>
      <c r="HN56" s="49"/>
      <c r="HO56" s="49"/>
      <c r="HP56" s="49"/>
      <c r="HQ56" s="49"/>
      <c r="HR56" s="49"/>
      <c r="HS56" s="49"/>
      <c r="HT56" s="49"/>
      <c r="HU56" s="49"/>
      <c r="HV56" s="49"/>
      <c r="HW56" s="49"/>
      <c r="HX56" s="49"/>
      <c r="HY56" s="49"/>
      <c r="HZ56" s="49"/>
      <c r="IA56" s="49"/>
      <c r="IB56" s="49"/>
      <c r="IC56" s="49"/>
      <c r="ID56" s="49"/>
      <c r="IE56" s="49"/>
      <c r="IF56" s="49"/>
      <c r="IG56" s="49"/>
      <c r="IH56" s="49"/>
      <c r="II56" s="49"/>
      <c r="IJ56" s="49"/>
      <c r="IK56" s="49"/>
      <c r="IL56" s="49"/>
      <c r="IM56" s="49"/>
      <c r="IN56" s="49"/>
      <c r="IO56" s="49"/>
      <c r="IP56" s="49"/>
    </row>
    <row r="57" spans="1:250" s="228" customFormat="1" ht="33.75" customHeight="1" x14ac:dyDescent="0.2">
      <c r="C57" s="49"/>
      <c r="D57" s="49"/>
      <c r="E57" s="49"/>
      <c r="F57" s="49"/>
      <c r="G57" s="49"/>
      <c r="H57" s="49"/>
      <c r="I57" s="64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49"/>
      <c r="GA57" s="49"/>
      <c r="GB57" s="49"/>
      <c r="GC57" s="49"/>
      <c r="GD57" s="49"/>
      <c r="GE57" s="49"/>
      <c r="GF57" s="49"/>
      <c r="GG57" s="49"/>
      <c r="GH57" s="49"/>
      <c r="GI57" s="49"/>
      <c r="GJ57" s="49"/>
      <c r="GK57" s="49"/>
      <c r="GL57" s="49"/>
      <c r="GM57" s="49"/>
      <c r="GN57" s="49"/>
      <c r="GO57" s="49"/>
      <c r="GP57" s="49"/>
      <c r="GQ57" s="49"/>
      <c r="GR57" s="49"/>
      <c r="GS57" s="49"/>
      <c r="GT57" s="49"/>
      <c r="GU57" s="49"/>
      <c r="GV57" s="49"/>
      <c r="GW57" s="49"/>
      <c r="GX57" s="49"/>
      <c r="GY57" s="49"/>
      <c r="GZ57" s="49"/>
      <c r="HA57" s="49"/>
      <c r="HB57" s="49"/>
      <c r="HC57" s="49"/>
      <c r="HD57" s="49"/>
      <c r="HE57" s="49"/>
      <c r="HF57" s="49"/>
      <c r="HG57" s="49"/>
      <c r="HH57" s="49"/>
      <c r="HI57" s="49"/>
      <c r="HJ57" s="49"/>
      <c r="HK57" s="49"/>
      <c r="HL57" s="49"/>
      <c r="HM57" s="49"/>
      <c r="HN57" s="49"/>
      <c r="HO57" s="49"/>
      <c r="HP57" s="49"/>
      <c r="HQ57" s="49"/>
      <c r="HR57" s="49"/>
      <c r="HS57" s="49"/>
      <c r="HT57" s="49"/>
      <c r="HU57" s="49"/>
      <c r="HV57" s="49"/>
      <c r="HW57" s="49"/>
      <c r="HX57" s="49"/>
      <c r="HY57" s="49"/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49"/>
    </row>
  </sheetData>
  <sheetProtection sheet="1" objects="1" scenarios="1"/>
  <mergeCells count="24">
    <mergeCell ref="B45:H45"/>
    <mergeCell ref="A46:F56"/>
    <mergeCell ref="G46:I56"/>
    <mergeCell ref="B39:H39"/>
    <mergeCell ref="B40:H40"/>
    <mergeCell ref="B41:H41"/>
    <mergeCell ref="B42:H42"/>
    <mergeCell ref="B44:H44"/>
    <mergeCell ref="A43:I43"/>
    <mergeCell ref="A17:I17"/>
    <mergeCell ref="B31:H31"/>
    <mergeCell ref="B38:H38"/>
    <mergeCell ref="A30:I30"/>
    <mergeCell ref="B32:H32"/>
    <mergeCell ref="B33:H33"/>
    <mergeCell ref="B34:H34"/>
    <mergeCell ref="B35:H35"/>
    <mergeCell ref="B36:H36"/>
    <mergeCell ref="B37:H37"/>
    <mergeCell ref="A1:E1"/>
    <mergeCell ref="F1:I1"/>
    <mergeCell ref="A2:I2"/>
    <mergeCell ref="A16:I16"/>
    <mergeCell ref="A3:I3"/>
  </mergeCells>
  <printOptions horizontalCentered="1"/>
  <pageMargins left="0.23622047244094491" right="0.23622047244094491" top="0.23622047244094491" bottom="0.23622047244094491" header="0" footer="0"/>
  <pageSetup scale="80" orientation="portrait" r:id="rId1"/>
  <headerFooter>
    <oddFooter>Página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P50"/>
  <sheetViews>
    <sheetView showGridLines="0" showWhiteSpace="0" view="pageLayout" zoomScaleNormal="100" workbookViewId="0">
      <selection sqref="A1:E1"/>
    </sheetView>
  </sheetViews>
  <sheetFormatPr defaultColWidth="6.28515625" defaultRowHeight="33" x14ac:dyDescent="0.2"/>
  <cols>
    <col min="1" max="2" width="12.28515625" style="156" customWidth="1"/>
    <col min="3" max="8" width="12.28515625" style="4" customWidth="1"/>
    <col min="9" max="9" width="12.28515625" style="157" customWidth="1"/>
    <col min="10" max="10" width="14.7109375" style="4" customWidth="1"/>
    <col min="11" max="19" width="9.7109375" style="4" hidden="1" customWidth="1"/>
    <col min="20" max="277" width="9.140625" style="4" customWidth="1"/>
    <col min="278" max="16384" width="6.28515625" style="4"/>
  </cols>
  <sheetData>
    <row r="1" spans="1:19" s="49" customFormat="1" ht="102" customHeight="1" x14ac:dyDescent="0.2">
      <c r="A1" s="576"/>
      <c r="B1" s="577"/>
      <c r="C1" s="577"/>
      <c r="D1" s="577"/>
      <c r="E1" s="577"/>
      <c r="F1" s="577"/>
      <c r="G1" s="577"/>
      <c r="H1" s="577"/>
      <c r="I1" s="578"/>
    </row>
    <row r="2" spans="1:19" s="24" customFormat="1" ht="42.6" customHeight="1" x14ac:dyDescent="0.2">
      <c r="A2" s="640" t="s">
        <v>858</v>
      </c>
      <c r="B2" s="641"/>
      <c r="C2" s="641"/>
      <c r="D2" s="641"/>
      <c r="E2" s="641"/>
      <c r="F2" s="641"/>
      <c r="G2" s="641"/>
      <c r="H2" s="641"/>
      <c r="I2" s="642"/>
      <c r="J2" s="62"/>
    </row>
    <row r="3" spans="1:19" s="24" customFormat="1" ht="20.100000000000001" customHeight="1" thickBot="1" x14ac:dyDescent="0.25">
      <c r="A3" s="625" t="s">
        <v>719</v>
      </c>
      <c r="B3" s="626"/>
      <c r="C3" s="626"/>
      <c r="D3" s="626"/>
      <c r="E3" s="626"/>
      <c r="F3" s="626"/>
      <c r="G3" s="626"/>
      <c r="H3" s="626"/>
      <c r="I3" s="627"/>
    </row>
    <row r="4" spans="1:19" s="49" customFormat="1" ht="12" customHeight="1" x14ac:dyDescent="0.2">
      <c r="A4" s="212" t="s">
        <v>435</v>
      </c>
      <c r="B4" s="238" t="s">
        <v>340</v>
      </c>
      <c r="C4" s="238" t="s">
        <v>341</v>
      </c>
      <c r="D4" s="238" t="s">
        <v>342</v>
      </c>
      <c r="E4" s="238" t="s">
        <v>343</v>
      </c>
      <c r="F4" s="217" t="s">
        <v>344</v>
      </c>
      <c r="G4" s="217" t="s">
        <v>597</v>
      </c>
      <c r="H4" s="217" t="s">
        <v>727</v>
      </c>
      <c r="I4" s="334" t="s">
        <v>436</v>
      </c>
      <c r="K4" s="25" t="s">
        <v>435</v>
      </c>
      <c r="L4" s="234" t="s">
        <v>340</v>
      </c>
      <c r="M4" s="234" t="s">
        <v>341</v>
      </c>
      <c r="N4" s="234" t="s">
        <v>342</v>
      </c>
      <c r="O4" s="234" t="s">
        <v>343</v>
      </c>
      <c r="P4" s="340" t="s">
        <v>344</v>
      </c>
      <c r="Q4" s="341" t="s">
        <v>597</v>
      </c>
      <c r="R4" s="217" t="s">
        <v>727</v>
      </c>
      <c r="S4" s="342" t="s">
        <v>436</v>
      </c>
    </row>
    <row r="5" spans="1:19" s="49" customFormat="1" ht="12" customHeight="1" x14ac:dyDescent="0.2">
      <c r="A5" s="27" t="s">
        <v>329</v>
      </c>
      <c r="B5" s="28">
        <f>SUM(L5-(L5*Capa!$C$1))</f>
        <v>71.745999999999995</v>
      </c>
      <c r="C5" s="28">
        <f>SUM(M5-(M5*Capa!$C$1))</f>
        <v>75.230999999999995</v>
      </c>
      <c r="D5" s="28">
        <f>SUM(N5-(N5*Capa!$C$1))</f>
        <v>78.715999999999994</v>
      </c>
      <c r="E5" s="28">
        <f>SUM(O5-(O5*Capa!$C$1))</f>
        <v>82.200999999999993</v>
      </c>
      <c r="F5" s="28">
        <f>SUM(P5-(P5*Capa!$C$1))</f>
        <v>85.685999999999993</v>
      </c>
      <c r="G5" s="28">
        <f>SUM(Q5-(Q5*Capa!$C$1))</f>
        <v>57.805999999999997</v>
      </c>
      <c r="H5" s="28">
        <f>SUM(R5-(R5*Capa!$C$1))</f>
        <v>57.805999999999997</v>
      </c>
      <c r="I5" s="170">
        <f>SUM(S5-(S5*Capa!$C$1))</f>
        <v>50.35</v>
      </c>
      <c r="K5" s="27" t="s">
        <v>329</v>
      </c>
      <c r="L5" s="60">
        <v>71.745999999999995</v>
      </c>
      <c r="M5" s="60">
        <v>75.230999999999995</v>
      </c>
      <c r="N5" s="60">
        <v>78.715999999999994</v>
      </c>
      <c r="O5" s="60">
        <v>82.200999999999993</v>
      </c>
      <c r="P5" s="60">
        <v>85.685999999999993</v>
      </c>
      <c r="Q5" s="60">
        <v>57.805999999999997</v>
      </c>
      <c r="R5" s="60">
        <v>57.805999999999997</v>
      </c>
      <c r="S5" s="170">
        <v>50.35</v>
      </c>
    </row>
    <row r="6" spans="1:19" s="49" customFormat="1" ht="12" customHeight="1" x14ac:dyDescent="0.2">
      <c r="A6" s="215" t="s">
        <v>335</v>
      </c>
      <c r="B6" s="216">
        <f>SUM(L6-(L6*Capa!$C$1))</f>
        <v>86.140999999999991</v>
      </c>
      <c r="C6" s="216">
        <f>SUM(M6-(M6*Capa!$C$1))</f>
        <v>91.368499999999997</v>
      </c>
      <c r="D6" s="216">
        <f>SUM(N6-(N6*Capa!$C$1))</f>
        <v>96.595999999999989</v>
      </c>
      <c r="E6" s="216">
        <f>SUM(O6-(O6*Capa!$C$1))</f>
        <v>101.8235</v>
      </c>
      <c r="F6" s="216">
        <f>SUM(P6-(P6*Capa!$C$1))</f>
        <v>107.05099999999999</v>
      </c>
      <c r="G6" s="216">
        <f>SUM(Q6-(Q6*Capa!$C$1))</f>
        <v>65.230999999999995</v>
      </c>
      <c r="H6" s="216">
        <f>SUM(R6-(R6*Capa!$C$1))</f>
        <v>65.230999999999995</v>
      </c>
      <c r="I6" s="193">
        <f>SUM(S6-(S6*Capa!$C$1))</f>
        <v>57</v>
      </c>
      <c r="K6" s="215" t="s">
        <v>335</v>
      </c>
      <c r="L6" s="338">
        <v>86.140999999999991</v>
      </c>
      <c r="M6" s="338">
        <v>91.368499999999997</v>
      </c>
      <c r="N6" s="338">
        <v>96.595999999999989</v>
      </c>
      <c r="O6" s="338">
        <v>101.8235</v>
      </c>
      <c r="P6" s="338">
        <v>107.05099999999999</v>
      </c>
      <c r="Q6" s="338">
        <v>65.230999999999995</v>
      </c>
      <c r="R6" s="338">
        <v>65.230999999999995</v>
      </c>
      <c r="S6" s="193">
        <v>57</v>
      </c>
    </row>
    <row r="7" spans="1:19" s="49" customFormat="1" ht="12" customHeight="1" x14ac:dyDescent="0.2">
      <c r="A7" s="27" t="s">
        <v>330</v>
      </c>
      <c r="B7" s="28">
        <f>SUM(L7-(L7*Capa!$C$1))</f>
        <v>104.14400000000001</v>
      </c>
      <c r="C7" s="28">
        <f>SUM(M7-(M7*Capa!$C$1))</f>
        <v>111.114</v>
      </c>
      <c r="D7" s="28">
        <f>SUM(N7-(N7*Capa!$C$1))</f>
        <v>118.084</v>
      </c>
      <c r="E7" s="28">
        <f>SUM(O7-(O7*Capa!$C$1))</f>
        <v>125.054</v>
      </c>
      <c r="F7" s="28">
        <f>SUM(P7-(P7*Capa!$C$1))</f>
        <v>132.024</v>
      </c>
      <c r="G7" s="28">
        <f>SUM(Q7-(Q7*Capa!$C$1))</f>
        <v>76.26400000000001</v>
      </c>
      <c r="H7" s="28">
        <f>SUM(R7-(R7*Capa!$C$1))</f>
        <v>76.26400000000001</v>
      </c>
      <c r="I7" s="170">
        <f>SUM(S7-(S7*Capa!$C$1))</f>
        <v>63.65</v>
      </c>
      <c r="K7" s="27" t="s">
        <v>330</v>
      </c>
      <c r="L7" s="60">
        <v>104.14400000000001</v>
      </c>
      <c r="M7" s="60">
        <v>111.114</v>
      </c>
      <c r="N7" s="60">
        <v>118.084</v>
      </c>
      <c r="O7" s="60">
        <v>125.054</v>
      </c>
      <c r="P7" s="60">
        <v>132.024</v>
      </c>
      <c r="Q7" s="60">
        <v>76.26400000000001</v>
      </c>
      <c r="R7" s="60">
        <v>76.26400000000001</v>
      </c>
      <c r="S7" s="170">
        <v>63.65</v>
      </c>
    </row>
    <row r="8" spans="1:19" s="49" customFormat="1" ht="12" customHeight="1" x14ac:dyDescent="0.2">
      <c r="A8" s="215" t="s">
        <v>336</v>
      </c>
      <c r="B8" s="216">
        <f>SUM(L8-(L8*Capa!$C$1))</f>
        <v>120.24900000000002</v>
      </c>
      <c r="C8" s="216">
        <f>SUM(M8-(M8*Capa!$C$1))</f>
        <v>128.9615</v>
      </c>
      <c r="D8" s="216">
        <f>SUM(N8-(N8*Capa!$C$1))</f>
        <v>137.67400000000001</v>
      </c>
      <c r="E8" s="216">
        <f>SUM(O8-(O8*Capa!$C$1))</f>
        <v>146.38650000000001</v>
      </c>
      <c r="F8" s="216">
        <f>SUM(P8-(P8*Capa!$C$1))</f>
        <v>155.09900000000002</v>
      </c>
      <c r="G8" s="216">
        <f>SUM(Q8-(Q8*Capa!$C$1))</f>
        <v>85.399000000000015</v>
      </c>
      <c r="H8" s="216">
        <f>SUM(R8-(R8*Capa!$C$1))</f>
        <v>85.399000000000015</v>
      </c>
      <c r="I8" s="193">
        <f>SUM(S8-(S8*Capa!$C$1))</f>
        <v>70.3</v>
      </c>
      <c r="K8" s="215" t="s">
        <v>336</v>
      </c>
      <c r="L8" s="338">
        <v>120.24900000000002</v>
      </c>
      <c r="M8" s="338">
        <v>128.9615</v>
      </c>
      <c r="N8" s="338">
        <v>137.67400000000001</v>
      </c>
      <c r="O8" s="338">
        <v>146.38650000000001</v>
      </c>
      <c r="P8" s="338">
        <v>155.09900000000002</v>
      </c>
      <c r="Q8" s="338">
        <v>85.399000000000015</v>
      </c>
      <c r="R8" s="338">
        <v>85.399000000000015</v>
      </c>
      <c r="S8" s="193">
        <v>70.3</v>
      </c>
    </row>
    <row r="9" spans="1:19" s="49" customFormat="1" ht="12" customHeight="1" x14ac:dyDescent="0.2">
      <c r="A9" s="27" t="s">
        <v>331</v>
      </c>
      <c r="B9" s="28">
        <f>SUM(L9-(L9*Capa!$C$1))</f>
        <v>138.05199999999999</v>
      </c>
      <c r="C9" s="28">
        <f>SUM(M9-(M9*Capa!$C$1))</f>
        <v>148.50700000000001</v>
      </c>
      <c r="D9" s="28">
        <f>SUM(N9-(N9*Capa!$C$1))</f>
        <v>158.96199999999999</v>
      </c>
      <c r="E9" s="28">
        <f>SUM(O9-(O9*Capa!$C$1))</f>
        <v>169.417</v>
      </c>
      <c r="F9" s="28">
        <f>SUM(P9-(P9*Capa!$C$1))</f>
        <v>179.87200000000001</v>
      </c>
      <c r="G9" s="28">
        <f>SUM(Q9-(Q9*Capa!$C$1))</f>
        <v>96.231999999999999</v>
      </c>
      <c r="H9" s="28">
        <f>SUM(R9-(R9*Capa!$C$1))</f>
        <v>96.231999999999999</v>
      </c>
      <c r="I9" s="170">
        <f>SUM(S9-(S9*Capa!$C$1))</f>
        <v>76.95</v>
      </c>
      <c r="K9" s="27" t="s">
        <v>331</v>
      </c>
      <c r="L9" s="60">
        <v>138.05199999999999</v>
      </c>
      <c r="M9" s="60">
        <v>148.50700000000001</v>
      </c>
      <c r="N9" s="60">
        <v>158.96199999999999</v>
      </c>
      <c r="O9" s="60">
        <v>169.417</v>
      </c>
      <c r="P9" s="60">
        <v>179.87200000000001</v>
      </c>
      <c r="Q9" s="60">
        <v>96.231999999999999</v>
      </c>
      <c r="R9" s="60">
        <v>96.231999999999999</v>
      </c>
      <c r="S9" s="170">
        <v>76.95</v>
      </c>
    </row>
    <row r="10" spans="1:19" s="49" customFormat="1" ht="12" customHeight="1" x14ac:dyDescent="0.2">
      <c r="A10" s="215" t="s">
        <v>337</v>
      </c>
      <c r="B10" s="216">
        <f>SUM(L10-(L10*Capa!$C$1))</f>
        <v>154.15700000000001</v>
      </c>
      <c r="C10" s="216">
        <f>SUM(M10-(M10*Capa!$C$1))</f>
        <v>166.3545</v>
      </c>
      <c r="D10" s="216">
        <f>SUM(N10-(N10*Capa!$C$1))</f>
        <v>178.55200000000002</v>
      </c>
      <c r="E10" s="216">
        <f>SUM(O10-(O10*Capa!$C$1))</f>
        <v>190.74950000000001</v>
      </c>
      <c r="F10" s="216">
        <f>SUM(P10-(P10*Capa!$C$1))</f>
        <v>202.947</v>
      </c>
      <c r="G10" s="216">
        <f>SUM(Q10-(Q10*Capa!$C$1))</f>
        <v>105.367</v>
      </c>
      <c r="H10" s="216">
        <f>SUM(R10-(R10*Capa!$C$1))</f>
        <v>105.367</v>
      </c>
      <c r="I10" s="193">
        <f>SUM(S10-(S10*Capa!$C$1))</f>
        <v>83.6</v>
      </c>
      <c r="K10" s="215" t="s">
        <v>337</v>
      </c>
      <c r="L10" s="338">
        <v>154.15700000000001</v>
      </c>
      <c r="M10" s="338">
        <v>166.3545</v>
      </c>
      <c r="N10" s="338">
        <v>178.55200000000002</v>
      </c>
      <c r="O10" s="338">
        <v>190.74950000000001</v>
      </c>
      <c r="P10" s="338">
        <v>202.947</v>
      </c>
      <c r="Q10" s="338">
        <v>105.367</v>
      </c>
      <c r="R10" s="338">
        <v>105.367</v>
      </c>
      <c r="S10" s="193">
        <v>83.6</v>
      </c>
    </row>
    <row r="11" spans="1:19" s="49" customFormat="1" ht="12" customHeight="1" x14ac:dyDescent="0.2">
      <c r="A11" s="27" t="s">
        <v>332</v>
      </c>
      <c r="B11" s="28">
        <f>SUM(L11-(L11*Capa!$C$1))</f>
        <v>170.07</v>
      </c>
      <c r="C11" s="28">
        <f>SUM(M11-(M11*Capa!$C$1))</f>
        <v>184.01</v>
      </c>
      <c r="D11" s="28">
        <f>SUM(N11-(N11*Capa!$C$1))</f>
        <v>197.95</v>
      </c>
      <c r="E11" s="28">
        <f>SUM(O11-(O11*Capa!$C$1))</f>
        <v>211.89</v>
      </c>
      <c r="F11" s="28">
        <f>SUM(P11-(P11*Capa!$C$1))</f>
        <v>225.82999999999998</v>
      </c>
      <c r="G11" s="28">
        <f>SUM(Q11-(Q11*Capa!$C$1))</f>
        <v>114.30999999999999</v>
      </c>
      <c r="H11" s="28">
        <f>SUM(R11-(R11*Capa!$C$1))</f>
        <v>114.30999999999999</v>
      </c>
      <c r="I11" s="170">
        <f>SUM(S11-(S11*Capa!$C$1))</f>
        <v>90.25</v>
      </c>
      <c r="K11" s="27" t="s">
        <v>332</v>
      </c>
      <c r="L11" s="60">
        <v>170.07</v>
      </c>
      <c r="M11" s="60">
        <v>184.01</v>
      </c>
      <c r="N11" s="60">
        <v>197.95</v>
      </c>
      <c r="O11" s="60">
        <v>211.89</v>
      </c>
      <c r="P11" s="60">
        <v>225.82999999999998</v>
      </c>
      <c r="Q11" s="60">
        <v>114.30999999999999</v>
      </c>
      <c r="R11" s="60">
        <v>114.30999999999999</v>
      </c>
      <c r="S11" s="170">
        <v>90.25</v>
      </c>
    </row>
    <row r="12" spans="1:19" s="49" customFormat="1" ht="12" customHeight="1" x14ac:dyDescent="0.2">
      <c r="A12" s="215" t="s">
        <v>338</v>
      </c>
      <c r="B12" s="216">
        <f>SUM(L12-(L12*Capa!$C$1))</f>
        <v>185.595</v>
      </c>
      <c r="C12" s="216">
        <f>SUM(M12-(M12*Capa!$C$1))</f>
        <v>201.2775</v>
      </c>
      <c r="D12" s="216">
        <f>SUM(N12-(N12*Capa!$C$1))</f>
        <v>216.96</v>
      </c>
      <c r="E12" s="216">
        <f>SUM(O12-(O12*Capa!$C$1))</f>
        <v>232.64249999999998</v>
      </c>
      <c r="F12" s="216">
        <f>SUM(P12-(P12*Capa!$C$1))</f>
        <v>248.32499999999999</v>
      </c>
      <c r="G12" s="216">
        <f>SUM(Q12-(Q12*Capa!$C$1))</f>
        <v>122.86500000000001</v>
      </c>
      <c r="H12" s="216">
        <f>SUM(R12-(R12*Capa!$C$1))</f>
        <v>122.86500000000001</v>
      </c>
      <c r="I12" s="193">
        <f>SUM(S12-(S12*Capa!$C$1))</f>
        <v>96.9</v>
      </c>
      <c r="K12" s="215" t="s">
        <v>338</v>
      </c>
      <c r="L12" s="338">
        <v>185.595</v>
      </c>
      <c r="M12" s="338">
        <v>201.2775</v>
      </c>
      <c r="N12" s="338">
        <v>216.96</v>
      </c>
      <c r="O12" s="338">
        <v>232.64249999999998</v>
      </c>
      <c r="P12" s="338">
        <v>248.32499999999999</v>
      </c>
      <c r="Q12" s="338">
        <v>122.86500000000001</v>
      </c>
      <c r="R12" s="338">
        <v>122.86500000000001</v>
      </c>
      <c r="S12" s="193">
        <v>96.9</v>
      </c>
    </row>
    <row r="13" spans="1:19" s="49" customFormat="1" ht="12" customHeight="1" x14ac:dyDescent="0.2">
      <c r="A13" s="27" t="s">
        <v>333</v>
      </c>
      <c r="B13" s="28">
        <f>SUM(L13-(L13*Capa!$C$1))</f>
        <v>209.75599999999997</v>
      </c>
      <c r="C13" s="28">
        <f>SUM(M13-(M13*Capa!$C$1))</f>
        <v>227.18099999999998</v>
      </c>
      <c r="D13" s="28">
        <f>SUM(N13-(N13*Capa!$C$1))</f>
        <v>244.60599999999999</v>
      </c>
      <c r="E13" s="28">
        <f>SUM(O13-(O13*Capa!$C$1))</f>
        <v>262.03099999999995</v>
      </c>
      <c r="F13" s="28">
        <f>SUM(P13-(P13*Capa!$C$1))</f>
        <v>279.45600000000002</v>
      </c>
      <c r="G13" s="28">
        <f>SUM(Q13-(Q13*Capa!$C$1))</f>
        <v>140.05599999999998</v>
      </c>
      <c r="H13" s="28">
        <f>SUM(R13-(R13*Capa!$C$1))</f>
        <v>140.05599999999998</v>
      </c>
      <c r="I13" s="170">
        <f>SUM(S13-(S13*Capa!$C$1))</f>
        <v>112.1</v>
      </c>
      <c r="K13" s="27" t="s">
        <v>333</v>
      </c>
      <c r="L13" s="60">
        <v>209.75599999999997</v>
      </c>
      <c r="M13" s="60">
        <v>227.18099999999998</v>
      </c>
      <c r="N13" s="60">
        <v>244.60599999999999</v>
      </c>
      <c r="O13" s="60">
        <v>262.03099999999995</v>
      </c>
      <c r="P13" s="60">
        <v>279.45600000000002</v>
      </c>
      <c r="Q13" s="60">
        <v>140.05599999999998</v>
      </c>
      <c r="R13" s="60">
        <v>140.05599999999998</v>
      </c>
      <c r="S13" s="170">
        <v>112.1</v>
      </c>
    </row>
    <row r="14" spans="1:19" s="49" customFormat="1" ht="12" customHeight="1" x14ac:dyDescent="0.2">
      <c r="A14" s="215" t="s">
        <v>339</v>
      </c>
      <c r="B14" s="216">
        <f>SUM(L14-(L14*Capa!$C$1))</f>
        <v>221.34899999999999</v>
      </c>
      <c r="C14" s="216">
        <f>SUM(M14-(M14*Capa!$C$1))</f>
        <v>240.51650000000001</v>
      </c>
      <c r="D14" s="216">
        <f>SUM(N14-(N14*Capa!$C$1))</f>
        <v>259.68399999999997</v>
      </c>
      <c r="E14" s="216">
        <f>SUM(O14-(O14*Capa!$C$1))</f>
        <v>278.85149999999999</v>
      </c>
      <c r="F14" s="216">
        <f>SUM(P14-(P14*Capa!$C$1))</f>
        <v>298.01900000000001</v>
      </c>
      <c r="G14" s="216">
        <f>SUM(Q14-(Q14*Capa!$C$1))</f>
        <v>144.679</v>
      </c>
      <c r="H14" s="216">
        <f>SUM(R14-(R14*Capa!$C$1))</f>
        <v>144.679</v>
      </c>
      <c r="I14" s="193">
        <f>SUM(S14-(S14*Capa!$C$1))</f>
        <v>114.47</v>
      </c>
      <c r="K14" s="215" t="s">
        <v>339</v>
      </c>
      <c r="L14" s="338">
        <v>221.34899999999999</v>
      </c>
      <c r="M14" s="338">
        <v>240.51650000000001</v>
      </c>
      <c r="N14" s="338">
        <v>259.68399999999997</v>
      </c>
      <c r="O14" s="338">
        <v>278.85149999999999</v>
      </c>
      <c r="P14" s="338">
        <v>298.01900000000001</v>
      </c>
      <c r="Q14" s="338">
        <v>144.679</v>
      </c>
      <c r="R14" s="338">
        <v>144.679</v>
      </c>
      <c r="S14" s="193">
        <v>114.47</v>
      </c>
    </row>
    <row r="15" spans="1:19" s="49" customFormat="1" ht="12" customHeight="1" thickBot="1" x14ac:dyDescent="0.25">
      <c r="A15" s="27" t="s">
        <v>334</v>
      </c>
      <c r="B15" s="28">
        <f>SUM(L15-(L15*Capa!$C$1))</f>
        <v>232.94799999999998</v>
      </c>
      <c r="C15" s="28">
        <f>SUM(M15-(M15*Capa!$C$1))</f>
        <v>253.858</v>
      </c>
      <c r="D15" s="28">
        <f>SUM(N15-(N15*Capa!$C$1))</f>
        <v>274.76799999999997</v>
      </c>
      <c r="E15" s="28">
        <f>SUM(O15-(O15*Capa!$C$1))</f>
        <v>295.678</v>
      </c>
      <c r="F15" s="28">
        <f>SUM(P15-(P15*Capa!$C$1))</f>
        <v>316.58799999999997</v>
      </c>
      <c r="G15" s="28">
        <f>SUM(Q15-(Q15*Capa!$C$1))</f>
        <v>149.30799999999999</v>
      </c>
      <c r="H15" s="28">
        <f>SUM(R15-(R15*Capa!$C$1))</f>
        <v>149.30799999999999</v>
      </c>
      <c r="I15" s="170">
        <f>SUM(S15-(S15*Capa!$C$1))</f>
        <v>116.85</v>
      </c>
      <c r="K15" s="158" t="s">
        <v>334</v>
      </c>
      <c r="L15" s="60">
        <v>232.94799999999998</v>
      </c>
      <c r="M15" s="60">
        <v>253.858</v>
      </c>
      <c r="N15" s="60">
        <v>274.76799999999997</v>
      </c>
      <c r="O15" s="60">
        <v>295.678</v>
      </c>
      <c r="P15" s="60">
        <v>316.58799999999997</v>
      </c>
      <c r="Q15" s="60">
        <v>149.30799999999999</v>
      </c>
      <c r="R15" s="60">
        <v>149.30799999999999</v>
      </c>
      <c r="S15" s="170">
        <v>116.85</v>
      </c>
    </row>
    <row r="16" spans="1:19" s="24" customFormat="1" ht="42.6" customHeight="1" x14ac:dyDescent="0.2">
      <c r="A16" s="640" t="s">
        <v>859</v>
      </c>
      <c r="B16" s="641"/>
      <c r="C16" s="641"/>
      <c r="D16" s="641"/>
      <c r="E16" s="641"/>
      <c r="F16" s="641"/>
      <c r="G16" s="641"/>
      <c r="H16" s="641"/>
      <c r="I16" s="642"/>
      <c r="J16" s="62"/>
    </row>
    <row r="17" spans="1:19" s="24" customFormat="1" ht="20.100000000000001" customHeight="1" thickBot="1" x14ac:dyDescent="0.25">
      <c r="A17" s="625" t="s">
        <v>719</v>
      </c>
      <c r="B17" s="626"/>
      <c r="C17" s="626"/>
      <c r="D17" s="626"/>
      <c r="E17" s="626"/>
      <c r="F17" s="626"/>
      <c r="G17" s="626"/>
      <c r="H17" s="626"/>
      <c r="I17" s="627"/>
    </row>
    <row r="18" spans="1:19" s="49" customFormat="1" ht="12" customHeight="1" x14ac:dyDescent="0.2">
      <c r="A18" s="212" t="s">
        <v>435</v>
      </c>
      <c r="B18" s="238" t="s">
        <v>340</v>
      </c>
      <c r="C18" s="238" t="s">
        <v>341</v>
      </c>
      <c r="D18" s="238" t="s">
        <v>342</v>
      </c>
      <c r="E18" s="238" t="s">
        <v>343</v>
      </c>
      <c r="F18" s="217" t="s">
        <v>344</v>
      </c>
      <c r="G18" s="217" t="s">
        <v>597</v>
      </c>
      <c r="H18" s="217" t="s">
        <v>727</v>
      </c>
      <c r="I18" s="334" t="s">
        <v>436</v>
      </c>
      <c r="K18" s="25" t="s">
        <v>435</v>
      </c>
      <c r="L18" s="234" t="s">
        <v>340</v>
      </c>
      <c r="M18" s="234" t="s">
        <v>341</v>
      </c>
      <c r="N18" s="234" t="s">
        <v>342</v>
      </c>
      <c r="O18" s="234" t="s">
        <v>343</v>
      </c>
      <c r="P18" s="340" t="s">
        <v>344</v>
      </c>
      <c r="Q18" s="341" t="s">
        <v>597</v>
      </c>
      <c r="R18" s="217" t="s">
        <v>727</v>
      </c>
      <c r="S18" s="342" t="s">
        <v>436</v>
      </c>
    </row>
    <row r="19" spans="1:19" s="49" customFormat="1" ht="12" customHeight="1" x14ac:dyDescent="0.2">
      <c r="A19" s="27" t="s">
        <v>329</v>
      </c>
      <c r="B19" s="28">
        <f>SUM(L19-(L19*Capa!$C$1))</f>
        <v>55.838000000000001</v>
      </c>
      <c r="C19" s="28">
        <f>SUM(M19-(M19*Capa!$C$1))</f>
        <v>59.323000000000008</v>
      </c>
      <c r="D19" s="28">
        <f>SUM(N19-(N19*Capa!$C$1))</f>
        <v>62.808000000000007</v>
      </c>
      <c r="E19" s="28">
        <f>SUM(O19-(O19*Capa!$C$1))</f>
        <v>66.293000000000006</v>
      </c>
      <c r="F19" s="28">
        <f>SUM(P19-(P19*Capa!$C$1))</f>
        <v>69.778000000000006</v>
      </c>
      <c r="G19" s="28">
        <f>SUM(Q19-(Q19*Capa!$C$1))</f>
        <v>41.898000000000003</v>
      </c>
      <c r="H19" s="28">
        <f>SUM(R19-(R19*Capa!$C$1))</f>
        <v>41.898000000000003</v>
      </c>
      <c r="I19" s="170">
        <f>SUM(S19-(S19*Capa!$C$1))</f>
        <v>36.1</v>
      </c>
      <c r="K19" s="27" t="s">
        <v>329</v>
      </c>
      <c r="L19" s="61">
        <v>55.838000000000001</v>
      </c>
      <c r="M19" s="61">
        <v>59.323000000000008</v>
      </c>
      <c r="N19" s="61">
        <v>62.808000000000007</v>
      </c>
      <c r="O19" s="61">
        <v>66.293000000000006</v>
      </c>
      <c r="P19" s="61">
        <v>69.778000000000006</v>
      </c>
      <c r="Q19" s="60">
        <v>41.898000000000003</v>
      </c>
      <c r="R19" s="60">
        <v>41.898000000000003</v>
      </c>
      <c r="S19" s="170">
        <v>36.1</v>
      </c>
    </row>
    <row r="20" spans="1:19" s="49" customFormat="1" ht="12" customHeight="1" x14ac:dyDescent="0.2">
      <c r="A20" s="215" t="s">
        <v>335</v>
      </c>
      <c r="B20" s="216">
        <f>SUM(L20-(L20*Capa!$C$1))</f>
        <v>65.763000000000005</v>
      </c>
      <c r="C20" s="216">
        <f>SUM(M20-(M20*Capa!$C$1))</f>
        <v>70.990499999999997</v>
      </c>
      <c r="D20" s="216">
        <f>SUM(N20-(N20*Capa!$C$1))</f>
        <v>76.218000000000004</v>
      </c>
      <c r="E20" s="216">
        <f>SUM(O20-(O20*Capa!$C$1))</f>
        <v>81.44550000000001</v>
      </c>
      <c r="F20" s="216">
        <f>SUM(P20-(P20*Capa!$C$1))</f>
        <v>86.673000000000002</v>
      </c>
      <c r="G20" s="216">
        <f>SUM(Q20-(Q20*Capa!$C$1))</f>
        <v>44.853000000000002</v>
      </c>
      <c r="H20" s="216">
        <f>SUM(R20-(R20*Capa!$C$1))</f>
        <v>44.853000000000002</v>
      </c>
      <c r="I20" s="193">
        <f>SUM(S20-(S20*Capa!$C$1))</f>
        <v>39.9</v>
      </c>
      <c r="K20" s="215" t="s">
        <v>335</v>
      </c>
      <c r="L20" s="339">
        <v>65.763000000000005</v>
      </c>
      <c r="M20" s="339">
        <v>70.990499999999997</v>
      </c>
      <c r="N20" s="339">
        <v>76.218000000000004</v>
      </c>
      <c r="O20" s="339">
        <v>81.44550000000001</v>
      </c>
      <c r="P20" s="339">
        <v>86.673000000000002</v>
      </c>
      <c r="Q20" s="338">
        <v>44.853000000000002</v>
      </c>
      <c r="R20" s="338">
        <v>44.853000000000002</v>
      </c>
      <c r="S20" s="193">
        <v>39.9</v>
      </c>
    </row>
    <row r="21" spans="1:19" s="49" customFormat="1" ht="12" customHeight="1" x14ac:dyDescent="0.2">
      <c r="A21" s="27" t="s">
        <v>330</v>
      </c>
      <c r="B21" s="28">
        <f>SUM(L21-(L21*Capa!$C$1))</f>
        <v>81.686000000000007</v>
      </c>
      <c r="C21" s="28">
        <f>SUM(M21-(M21*Capa!$C$1))</f>
        <v>88.656000000000006</v>
      </c>
      <c r="D21" s="28">
        <f>SUM(N21-(N21*Capa!$C$1))</f>
        <v>95.626000000000005</v>
      </c>
      <c r="E21" s="28">
        <f>SUM(O21-(O21*Capa!$C$1))</f>
        <v>102.596</v>
      </c>
      <c r="F21" s="28">
        <f>SUM(P21-(P21*Capa!$C$1))</f>
        <v>109.566</v>
      </c>
      <c r="G21" s="28">
        <f>SUM(Q21-(Q21*Capa!$C$1))</f>
        <v>53.806000000000004</v>
      </c>
      <c r="H21" s="28">
        <f>SUM(R21-(R21*Capa!$C$1))</f>
        <v>53.806000000000004</v>
      </c>
      <c r="I21" s="170">
        <f>SUM(S21-(S21*Capa!$C$1))</f>
        <v>47.5</v>
      </c>
      <c r="K21" s="27" t="s">
        <v>330</v>
      </c>
      <c r="L21" s="61">
        <v>81.686000000000007</v>
      </c>
      <c r="M21" s="61">
        <v>88.656000000000006</v>
      </c>
      <c r="N21" s="61">
        <v>95.626000000000005</v>
      </c>
      <c r="O21" s="61">
        <v>102.596</v>
      </c>
      <c r="P21" s="61">
        <v>109.566</v>
      </c>
      <c r="Q21" s="60">
        <v>53.806000000000004</v>
      </c>
      <c r="R21" s="60">
        <v>53.806000000000004</v>
      </c>
      <c r="S21" s="170">
        <v>47.5</v>
      </c>
    </row>
    <row r="22" spans="1:19" s="49" customFormat="1" ht="12" customHeight="1" x14ac:dyDescent="0.2">
      <c r="A22" s="215" t="s">
        <v>336</v>
      </c>
      <c r="B22" s="216">
        <f>SUM(L22-(L22*Capa!$C$1))</f>
        <v>97.039000000000001</v>
      </c>
      <c r="C22" s="216">
        <f>SUM(M22-(M22*Capa!$C$1))</f>
        <v>105.75149999999999</v>
      </c>
      <c r="D22" s="216">
        <f>SUM(N22-(N22*Capa!$C$1))</f>
        <v>114.464</v>
      </c>
      <c r="E22" s="216">
        <f>SUM(O22-(O22*Capa!$C$1))</f>
        <v>123.1765</v>
      </c>
      <c r="F22" s="216">
        <f>SUM(P22-(P22*Capa!$C$1))</f>
        <v>131.88900000000001</v>
      </c>
      <c r="G22" s="216">
        <f>SUM(Q22-(Q22*Capa!$C$1))</f>
        <v>62.189</v>
      </c>
      <c r="H22" s="216">
        <f>SUM(R22-(R22*Capa!$C$1))</f>
        <v>62.189</v>
      </c>
      <c r="I22" s="193">
        <f>SUM(S22-(S22*Capa!$C$1))</f>
        <v>52.25</v>
      </c>
      <c r="K22" s="215" t="s">
        <v>336</v>
      </c>
      <c r="L22" s="339">
        <v>97.039000000000001</v>
      </c>
      <c r="M22" s="339">
        <v>105.75149999999999</v>
      </c>
      <c r="N22" s="339">
        <v>114.464</v>
      </c>
      <c r="O22" s="339">
        <v>123.1765</v>
      </c>
      <c r="P22" s="339">
        <v>131.88900000000001</v>
      </c>
      <c r="Q22" s="338">
        <v>62.189</v>
      </c>
      <c r="R22" s="338">
        <v>62.189</v>
      </c>
      <c r="S22" s="193">
        <v>52.25</v>
      </c>
    </row>
    <row r="23" spans="1:19" s="49" customFormat="1" ht="12" customHeight="1" x14ac:dyDescent="0.2">
      <c r="A23" s="27" t="s">
        <v>331</v>
      </c>
      <c r="B23" s="28">
        <f>SUM(L23-(L23*Capa!$C$1))</f>
        <v>113.14400000000001</v>
      </c>
      <c r="C23" s="28">
        <f>SUM(M23-(M23*Capa!$C$1))</f>
        <v>123.59899999999999</v>
      </c>
      <c r="D23" s="28">
        <f>SUM(N23-(N23*Capa!$C$1))</f>
        <v>134.054</v>
      </c>
      <c r="E23" s="28">
        <f>SUM(O23-(O23*Capa!$C$1))</f>
        <v>144.50900000000001</v>
      </c>
      <c r="F23" s="28">
        <f>SUM(P23-(P23*Capa!$C$1))</f>
        <v>154.964</v>
      </c>
      <c r="G23" s="28">
        <f>SUM(Q23-(Q23*Capa!$C$1))</f>
        <v>71.323999999999998</v>
      </c>
      <c r="H23" s="28">
        <f>SUM(R23-(R23*Capa!$C$1))</f>
        <v>71.323999999999998</v>
      </c>
      <c r="I23" s="170">
        <f>SUM(S23-(S23*Capa!$C$1))</f>
        <v>57.95</v>
      </c>
      <c r="K23" s="27" t="s">
        <v>331</v>
      </c>
      <c r="L23" s="61">
        <v>113.14400000000001</v>
      </c>
      <c r="M23" s="61">
        <v>123.59899999999999</v>
      </c>
      <c r="N23" s="61">
        <v>134.054</v>
      </c>
      <c r="O23" s="61">
        <v>144.50900000000001</v>
      </c>
      <c r="P23" s="61">
        <v>154.964</v>
      </c>
      <c r="Q23" s="60">
        <v>71.323999999999998</v>
      </c>
      <c r="R23" s="60">
        <v>71.323999999999998</v>
      </c>
      <c r="S23" s="170">
        <v>57.95</v>
      </c>
    </row>
    <row r="24" spans="1:19" s="49" customFormat="1" ht="12" customHeight="1" x14ac:dyDescent="0.2">
      <c r="A24" s="215" t="s">
        <v>337</v>
      </c>
      <c r="B24" s="216">
        <f>SUM(L24-(L24*Capa!$C$1))</f>
        <v>125.011</v>
      </c>
      <c r="C24" s="216">
        <f>SUM(M24-(M24*Capa!$C$1))</f>
        <v>137.20850000000002</v>
      </c>
      <c r="D24" s="216">
        <f>SUM(N24-(N24*Capa!$C$1))</f>
        <v>149.40600000000001</v>
      </c>
      <c r="E24" s="216">
        <f>SUM(O24-(O24*Capa!$C$1))</f>
        <v>161.6035</v>
      </c>
      <c r="F24" s="216">
        <f>SUM(P24-(P24*Capa!$C$1))</f>
        <v>173.80099999999999</v>
      </c>
      <c r="G24" s="216">
        <f>SUM(Q24-(Q24*Capa!$C$1))</f>
        <v>76.221000000000004</v>
      </c>
      <c r="H24" s="216">
        <f>SUM(R24-(R24*Capa!$C$1))</f>
        <v>76.221000000000004</v>
      </c>
      <c r="I24" s="193">
        <f>SUM(S24-(S24*Capa!$C$1))</f>
        <v>60.8</v>
      </c>
      <c r="K24" s="215" t="s">
        <v>337</v>
      </c>
      <c r="L24" s="339">
        <v>125.011</v>
      </c>
      <c r="M24" s="339">
        <v>137.20850000000002</v>
      </c>
      <c r="N24" s="339">
        <v>149.40600000000001</v>
      </c>
      <c r="O24" s="339">
        <v>161.6035</v>
      </c>
      <c r="P24" s="339">
        <v>173.80099999999999</v>
      </c>
      <c r="Q24" s="338">
        <v>76.221000000000004</v>
      </c>
      <c r="R24" s="338">
        <v>76.221000000000004</v>
      </c>
      <c r="S24" s="193">
        <v>60.8</v>
      </c>
    </row>
    <row r="25" spans="1:19" s="49" customFormat="1" ht="12" customHeight="1" x14ac:dyDescent="0.2">
      <c r="A25" s="27" t="s">
        <v>332</v>
      </c>
      <c r="B25" s="28">
        <f>SUM(L25-(L25*Capa!$C$1))</f>
        <v>140.92400000000001</v>
      </c>
      <c r="C25" s="28">
        <f>SUM(M25-(M25*Capa!$C$1))</f>
        <v>154.86400000000003</v>
      </c>
      <c r="D25" s="28">
        <f>SUM(N25-(N25*Capa!$C$1))</f>
        <v>168.80400000000003</v>
      </c>
      <c r="E25" s="28">
        <f>SUM(O25-(O25*Capa!$C$1))</f>
        <v>182.74400000000003</v>
      </c>
      <c r="F25" s="28">
        <f>SUM(P25-(P25*Capa!$C$1))</f>
        <v>196.68400000000003</v>
      </c>
      <c r="G25" s="28">
        <f>SUM(Q25-(Q25*Capa!$C$1))</f>
        <v>85.164000000000016</v>
      </c>
      <c r="H25" s="28">
        <f>SUM(R25-(R25*Capa!$C$1))</f>
        <v>85.164000000000016</v>
      </c>
      <c r="I25" s="170">
        <f>SUM(S25-(S25*Capa!$C$1))</f>
        <v>70.3</v>
      </c>
      <c r="K25" s="27" t="s">
        <v>332</v>
      </c>
      <c r="L25" s="61">
        <v>140.92400000000001</v>
      </c>
      <c r="M25" s="61">
        <v>154.86400000000003</v>
      </c>
      <c r="N25" s="61">
        <v>168.80400000000003</v>
      </c>
      <c r="O25" s="61">
        <v>182.74400000000003</v>
      </c>
      <c r="P25" s="61">
        <v>196.68400000000003</v>
      </c>
      <c r="Q25" s="60">
        <v>85.164000000000016</v>
      </c>
      <c r="R25" s="60">
        <v>85.164000000000016</v>
      </c>
      <c r="S25" s="170">
        <v>70.3</v>
      </c>
    </row>
    <row r="26" spans="1:19" s="49" customFormat="1" ht="12" customHeight="1" x14ac:dyDescent="0.2">
      <c r="A26" s="215" t="s">
        <v>338</v>
      </c>
      <c r="B26" s="216">
        <f>SUM(L26-(L26*Capa!$C$1))</f>
        <v>154.459</v>
      </c>
      <c r="C26" s="216">
        <f>SUM(M26-(M26*Capa!$C$1))</f>
        <v>170.14150000000001</v>
      </c>
      <c r="D26" s="216">
        <f>SUM(N26-(N26*Capa!$C$1))</f>
        <v>185.82400000000001</v>
      </c>
      <c r="E26" s="216">
        <f>SUM(O26-(O26*Capa!$C$1))</f>
        <v>201.50649999999999</v>
      </c>
      <c r="F26" s="216">
        <f>SUM(P26-(P26*Capa!$C$1))</f>
        <v>217.18899999999999</v>
      </c>
      <c r="G26" s="216">
        <f>SUM(Q26-(Q26*Capa!$C$1))</f>
        <v>91.728999999999999</v>
      </c>
      <c r="H26" s="216">
        <f>SUM(R26-(R26*Capa!$C$1))</f>
        <v>91.728999999999999</v>
      </c>
      <c r="I26" s="193">
        <f>SUM(S26-(S26*Capa!$C$1))</f>
        <v>75.05</v>
      </c>
      <c r="K26" s="215" t="s">
        <v>338</v>
      </c>
      <c r="L26" s="339">
        <v>154.459</v>
      </c>
      <c r="M26" s="339">
        <v>170.14150000000001</v>
      </c>
      <c r="N26" s="339">
        <v>185.82400000000001</v>
      </c>
      <c r="O26" s="339">
        <v>201.50649999999999</v>
      </c>
      <c r="P26" s="339">
        <v>217.18899999999999</v>
      </c>
      <c r="Q26" s="338">
        <v>91.728999999999999</v>
      </c>
      <c r="R26" s="338">
        <v>91.728999999999999</v>
      </c>
      <c r="S26" s="193">
        <v>75.05</v>
      </c>
    </row>
    <row r="27" spans="1:19" s="49" customFormat="1" ht="12" customHeight="1" x14ac:dyDescent="0.2">
      <c r="A27" s="27" t="s">
        <v>333</v>
      </c>
      <c r="B27" s="28">
        <f>SUM(L27-(L27*Capa!$C$1))</f>
        <v>173.684</v>
      </c>
      <c r="C27" s="28">
        <f>SUM(M27-(M27*Capa!$C$1))</f>
        <v>191.10899999999998</v>
      </c>
      <c r="D27" s="28">
        <f>SUM(N27-(N27*Capa!$C$1))</f>
        <v>208.53399999999999</v>
      </c>
      <c r="E27" s="28">
        <f>SUM(O27-(O27*Capa!$C$1))</f>
        <v>225.959</v>
      </c>
      <c r="F27" s="28">
        <f>SUM(P27-(P27*Capa!$C$1))</f>
        <v>243.38400000000001</v>
      </c>
      <c r="G27" s="28">
        <f>SUM(Q27-(Q27*Capa!$C$1))</f>
        <v>103.98399999999999</v>
      </c>
      <c r="H27" s="28">
        <f>SUM(R27-(R27*Capa!$C$1))</f>
        <v>103.98399999999999</v>
      </c>
      <c r="I27" s="170">
        <f>SUM(S27-(S27*Capa!$C$1))</f>
        <v>91.2</v>
      </c>
      <c r="K27" s="27" t="s">
        <v>333</v>
      </c>
      <c r="L27" s="61">
        <v>173.684</v>
      </c>
      <c r="M27" s="61">
        <v>191.10899999999998</v>
      </c>
      <c r="N27" s="61">
        <v>208.53399999999999</v>
      </c>
      <c r="O27" s="61">
        <v>225.959</v>
      </c>
      <c r="P27" s="61">
        <v>243.38400000000001</v>
      </c>
      <c r="Q27" s="60">
        <v>103.98399999999999</v>
      </c>
      <c r="R27" s="60">
        <v>103.98399999999999</v>
      </c>
      <c r="S27" s="170">
        <v>91.2</v>
      </c>
    </row>
    <row r="28" spans="1:19" s="49" customFormat="1" ht="12" customHeight="1" x14ac:dyDescent="0.2">
      <c r="A28" s="215" t="s">
        <v>339</v>
      </c>
      <c r="B28" s="216">
        <f>SUM(L28-(L28*Capa!$C$1))</f>
        <v>186.60300000000001</v>
      </c>
      <c r="C28" s="216">
        <f>SUM(M28-(M28*Capa!$C$1))</f>
        <v>205.77049999999997</v>
      </c>
      <c r="D28" s="216">
        <f>SUM(N28-(N28*Capa!$C$1))</f>
        <v>224.93799999999999</v>
      </c>
      <c r="E28" s="216">
        <f>SUM(O28-(O28*Capa!$C$1))</f>
        <v>244.10549999999998</v>
      </c>
      <c r="F28" s="216">
        <f>SUM(P28-(P28*Capa!$C$1))</f>
        <v>263.27300000000002</v>
      </c>
      <c r="G28" s="216">
        <f>SUM(Q28-(Q28*Capa!$C$1))</f>
        <v>109.93299999999999</v>
      </c>
      <c r="H28" s="216">
        <f>SUM(R28-(R28*Capa!$C$1))</f>
        <v>109.93299999999999</v>
      </c>
      <c r="I28" s="193">
        <f>SUM(S28-(S28*Capa!$C$1))</f>
        <v>93.57</v>
      </c>
      <c r="K28" s="215" t="s">
        <v>339</v>
      </c>
      <c r="L28" s="339">
        <v>186.60300000000001</v>
      </c>
      <c r="M28" s="339">
        <v>205.77049999999997</v>
      </c>
      <c r="N28" s="339">
        <v>224.93799999999999</v>
      </c>
      <c r="O28" s="339">
        <v>244.10549999999998</v>
      </c>
      <c r="P28" s="339">
        <v>263.27300000000002</v>
      </c>
      <c r="Q28" s="338">
        <v>109.93299999999999</v>
      </c>
      <c r="R28" s="338">
        <v>109.93299999999999</v>
      </c>
      <c r="S28" s="193">
        <v>93.57</v>
      </c>
    </row>
    <row r="29" spans="1:19" s="49" customFormat="1" ht="12" customHeight="1" thickBot="1" x14ac:dyDescent="0.25">
      <c r="A29" s="27" t="s">
        <v>334</v>
      </c>
      <c r="B29" s="28">
        <f>SUM(L29-(L29*Capa!$C$1))</f>
        <v>195.52799999999999</v>
      </c>
      <c r="C29" s="28">
        <f>SUM(M29-(M29*Capa!$C$1))</f>
        <v>216.43799999999999</v>
      </c>
      <c r="D29" s="28">
        <f>SUM(N29-(N29*Capa!$C$1))</f>
        <v>237.34799999999998</v>
      </c>
      <c r="E29" s="28">
        <f>SUM(O29-(O29*Capa!$C$1))</f>
        <v>258.25799999999998</v>
      </c>
      <c r="F29" s="28">
        <f>SUM(P29-(P29*Capa!$C$1))</f>
        <v>279.16800000000001</v>
      </c>
      <c r="G29" s="28">
        <f>SUM(Q29-(Q29*Capa!$C$1))</f>
        <v>111.88799999999999</v>
      </c>
      <c r="H29" s="28">
        <f>SUM(R29-(R29*Capa!$C$1))</f>
        <v>111.88799999999999</v>
      </c>
      <c r="I29" s="170">
        <f>SUM(S29-(S29*Capa!$C$1))</f>
        <v>95.95</v>
      </c>
      <c r="J29" s="59"/>
      <c r="K29" s="158" t="s">
        <v>334</v>
      </c>
      <c r="L29" s="61">
        <v>195.52799999999999</v>
      </c>
      <c r="M29" s="61">
        <v>216.43799999999999</v>
      </c>
      <c r="N29" s="61">
        <v>237.34799999999998</v>
      </c>
      <c r="O29" s="61">
        <v>258.25799999999998</v>
      </c>
      <c r="P29" s="61">
        <v>279.16800000000001</v>
      </c>
      <c r="Q29" s="60">
        <v>111.88799999999999</v>
      </c>
      <c r="R29" s="60">
        <v>111.88799999999999</v>
      </c>
      <c r="S29" s="170">
        <v>95.95</v>
      </c>
    </row>
    <row r="30" spans="1:19" s="24" customFormat="1" ht="20.100000000000001" customHeight="1" x14ac:dyDescent="0.2">
      <c r="A30" s="643" t="s">
        <v>451</v>
      </c>
      <c r="B30" s="644"/>
      <c r="C30" s="644"/>
      <c r="D30" s="644"/>
      <c r="E30" s="644"/>
      <c r="F30" s="644"/>
      <c r="G30" s="644"/>
      <c r="H30" s="644"/>
      <c r="I30" s="645"/>
      <c r="J30" s="62"/>
    </row>
    <row r="31" spans="1:19" s="49" customFormat="1" ht="14.1" customHeight="1" x14ac:dyDescent="0.2">
      <c r="A31" s="57" t="s">
        <v>514</v>
      </c>
      <c r="B31" s="553" t="s">
        <v>635</v>
      </c>
      <c r="C31" s="553"/>
      <c r="D31" s="553"/>
      <c r="E31" s="553"/>
      <c r="F31" s="553"/>
      <c r="G31" s="553"/>
      <c r="H31" s="553"/>
      <c r="I31" s="58">
        <f>'Wave-Square-Retangular'!G29</f>
        <v>11.5</v>
      </c>
      <c r="J31" s="63"/>
      <c r="K31" s="64"/>
    </row>
    <row r="32" spans="1:19" s="49" customFormat="1" ht="14.1" customHeight="1" x14ac:dyDescent="0.2">
      <c r="A32" s="316" t="s">
        <v>626</v>
      </c>
      <c r="B32" s="552" t="s">
        <v>627</v>
      </c>
      <c r="C32" s="552"/>
      <c r="D32" s="552"/>
      <c r="E32" s="552"/>
      <c r="F32" s="552"/>
      <c r="G32" s="552"/>
      <c r="H32" s="552"/>
      <c r="I32" s="244">
        <f>'Wave-Square-Retangular'!G30</f>
        <v>9.66</v>
      </c>
      <c r="J32" s="63"/>
      <c r="K32" s="64"/>
    </row>
    <row r="33" spans="1:11" s="49" customFormat="1" ht="12" customHeight="1" x14ac:dyDescent="0.2">
      <c r="A33" s="57" t="s">
        <v>268</v>
      </c>
      <c r="B33" s="553" t="s">
        <v>266</v>
      </c>
      <c r="C33" s="553"/>
      <c r="D33" s="553"/>
      <c r="E33" s="553"/>
      <c r="F33" s="553"/>
      <c r="G33" s="553"/>
      <c r="H33" s="553"/>
      <c r="I33" s="58">
        <f>'Aviamentos-Pingentes'!E27</f>
        <v>2.56</v>
      </c>
      <c r="J33" s="63"/>
      <c r="K33" s="64"/>
    </row>
    <row r="34" spans="1:11" s="49" customFormat="1" ht="12" customHeight="1" x14ac:dyDescent="0.2">
      <c r="A34" s="316" t="s">
        <v>269</v>
      </c>
      <c r="B34" s="552" t="s">
        <v>267</v>
      </c>
      <c r="C34" s="552"/>
      <c r="D34" s="552"/>
      <c r="E34" s="552"/>
      <c r="F34" s="552"/>
      <c r="G34" s="552"/>
      <c r="H34" s="552"/>
      <c r="I34" s="244">
        <f>'Aviamentos-Pingentes'!E28</f>
        <v>1.99</v>
      </c>
      <c r="J34" s="63"/>
      <c r="K34" s="64"/>
    </row>
    <row r="35" spans="1:11" s="49" customFormat="1" ht="12" customHeight="1" x14ac:dyDescent="0.2">
      <c r="A35" s="57" t="s">
        <v>270</v>
      </c>
      <c r="B35" s="553" t="s">
        <v>591</v>
      </c>
      <c r="C35" s="553"/>
      <c r="D35" s="553"/>
      <c r="E35" s="553"/>
      <c r="F35" s="553"/>
      <c r="G35" s="553"/>
      <c r="H35" s="553"/>
      <c r="I35" s="58">
        <f>'Aviamentos-Pingentes'!E29</f>
        <v>2.4500000000000002</v>
      </c>
      <c r="J35" s="63"/>
      <c r="K35" s="64"/>
    </row>
    <row r="36" spans="1:11" s="49" customFormat="1" ht="12" customHeight="1" x14ac:dyDescent="0.2">
      <c r="A36" s="316" t="s">
        <v>482</v>
      </c>
      <c r="B36" s="552" t="s">
        <v>720</v>
      </c>
      <c r="C36" s="552"/>
      <c r="D36" s="552"/>
      <c r="E36" s="552"/>
      <c r="F36" s="552"/>
      <c r="G36" s="552"/>
      <c r="H36" s="552"/>
      <c r="I36" s="244">
        <f>Trilhos!E16</f>
        <v>1.32</v>
      </c>
      <c r="J36" s="63"/>
      <c r="K36" s="64"/>
    </row>
    <row r="37" spans="1:11" s="49" customFormat="1" ht="29.85" customHeight="1" x14ac:dyDescent="0.2">
      <c r="A37" s="617" t="s">
        <v>728</v>
      </c>
      <c r="B37" s="618"/>
      <c r="C37" s="618"/>
      <c r="D37" s="618"/>
      <c r="E37" s="618"/>
      <c r="F37" s="618"/>
      <c r="G37" s="618"/>
      <c r="H37" s="618"/>
      <c r="I37" s="619"/>
    </row>
    <row r="38" spans="1:11" s="49" customFormat="1" ht="15" customHeight="1" x14ac:dyDescent="0.2">
      <c r="A38" s="614" t="s">
        <v>738</v>
      </c>
      <c r="B38" s="615"/>
      <c r="C38" s="615"/>
      <c r="D38" s="615"/>
      <c r="E38" s="615"/>
      <c r="F38" s="615"/>
      <c r="G38" s="615"/>
      <c r="H38" s="615"/>
      <c r="I38" s="616"/>
    </row>
    <row r="39" spans="1:11" s="24" customFormat="1" ht="15" customHeight="1" x14ac:dyDescent="0.2">
      <c r="A39" s="617" t="s">
        <v>313</v>
      </c>
      <c r="B39" s="618"/>
      <c r="C39" s="618"/>
      <c r="D39" s="618"/>
      <c r="E39" s="618"/>
      <c r="F39" s="618"/>
      <c r="G39" s="618"/>
      <c r="H39" s="618"/>
      <c r="I39" s="619"/>
    </row>
    <row r="40" spans="1:11" ht="15" customHeight="1" x14ac:dyDescent="0.2">
      <c r="A40" s="617"/>
      <c r="B40" s="618"/>
      <c r="C40" s="618"/>
      <c r="D40" s="618"/>
      <c r="E40" s="618"/>
      <c r="F40" s="618"/>
      <c r="G40" s="618"/>
      <c r="H40" s="618"/>
      <c r="I40" s="619"/>
    </row>
    <row r="41" spans="1:11" ht="38.450000000000003" customHeight="1" x14ac:dyDescent="0.2">
      <c r="A41" s="617"/>
      <c r="B41" s="618"/>
      <c r="C41" s="618"/>
      <c r="D41" s="618"/>
      <c r="E41" s="618"/>
      <c r="F41" s="618"/>
      <c r="G41" s="618"/>
      <c r="H41" s="618"/>
      <c r="I41" s="619"/>
    </row>
    <row r="42" spans="1:11" ht="38.450000000000003" customHeight="1" x14ac:dyDescent="0.2">
      <c r="A42" s="617"/>
      <c r="B42" s="618"/>
      <c r="C42" s="618"/>
      <c r="D42" s="618"/>
      <c r="E42" s="618"/>
      <c r="F42" s="618"/>
      <c r="G42" s="618"/>
      <c r="H42" s="618"/>
      <c r="I42" s="619"/>
    </row>
    <row r="43" spans="1:11" ht="38.450000000000003" customHeight="1" x14ac:dyDescent="0.2">
      <c r="A43" s="617"/>
      <c r="B43" s="618"/>
      <c r="C43" s="618"/>
      <c r="D43" s="618"/>
      <c r="E43" s="618"/>
      <c r="F43" s="618"/>
      <c r="G43" s="618"/>
      <c r="H43" s="618"/>
      <c r="I43" s="619"/>
    </row>
    <row r="44" spans="1:11" ht="42.75" customHeight="1" thickBot="1" x14ac:dyDescent="0.25">
      <c r="A44" s="637"/>
      <c r="B44" s="638"/>
      <c r="C44" s="638"/>
      <c r="D44" s="638"/>
      <c r="E44" s="638"/>
      <c r="F44" s="638"/>
      <c r="G44" s="638"/>
      <c r="H44" s="638"/>
      <c r="I44" s="639"/>
    </row>
    <row r="49" spans="3:250" s="156" customFormat="1" ht="33.75" customHeight="1" x14ac:dyDescent="0.2">
      <c r="C49" s="4"/>
      <c r="D49" s="4"/>
      <c r="E49" s="4"/>
      <c r="F49" s="4"/>
      <c r="G49" s="4"/>
      <c r="H49" s="4"/>
      <c r="I49" s="15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</row>
    <row r="50" spans="3:250" s="156" customFormat="1" ht="33.75" customHeight="1" x14ac:dyDescent="0.2">
      <c r="C50" s="4"/>
      <c r="D50" s="4"/>
      <c r="E50" s="4"/>
      <c r="F50" s="4"/>
      <c r="G50" s="4"/>
      <c r="H50" s="4"/>
      <c r="I50" s="15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</row>
  </sheetData>
  <sheetProtection sheet="1" objects="1" scenarios="1"/>
  <mergeCells count="17">
    <mergeCell ref="B35:H35"/>
    <mergeCell ref="B34:H34"/>
    <mergeCell ref="B33:H33"/>
    <mergeCell ref="B32:H32"/>
    <mergeCell ref="A40:I44"/>
    <mergeCell ref="A1:E1"/>
    <mergeCell ref="F1:I1"/>
    <mergeCell ref="A2:I2"/>
    <mergeCell ref="A3:I3"/>
    <mergeCell ref="A17:I17"/>
    <mergeCell ref="A30:I30"/>
    <mergeCell ref="A38:I38"/>
    <mergeCell ref="A39:I39"/>
    <mergeCell ref="A16:I16"/>
    <mergeCell ref="A37:I37"/>
    <mergeCell ref="B31:H31"/>
    <mergeCell ref="B36:H36"/>
  </mergeCells>
  <printOptions horizontalCentered="1"/>
  <pageMargins left="0.23622047244094491" right="0.23622047244094491" top="0.39370078740157483" bottom="0.19685039370078741" header="0.19685039370078741" footer="0"/>
  <pageSetup scale="90" orientation="portrait" r:id="rId1"/>
  <headerFooter>
    <oddFooter>Página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P62"/>
  <sheetViews>
    <sheetView showGridLines="0" showWhiteSpace="0" view="pageLayout" zoomScaleNormal="100" workbookViewId="0">
      <selection sqref="A1:E1"/>
    </sheetView>
  </sheetViews>
  <sheetFormatPr defaultColWidth="1.42578125" defaultRowHeight="33" x14ac:dyDescent="0.2"/>
  <cols>
    <col min="1" max="2" width="13.85546875" style="156" customWidth="1"/>
    <col min="3" max="8" width="13.85546875" style="4" customWidth="1"/>
    <col min="9" max="9" width="13.85546875" style="157" customWidth="1"/>
    <col min="10" max="10" width="14.7109375" style="4" customWidth="1"/>
    <col min="11" max="19" width="10.7109375" style="4" hidden="1" customWidth="1"/>
    <col min="20" max="277" width="9.140625" style="4" customWidth="1"/>
    <col min="278" max="16384" width="1.42578125" style="4"/>
  </cols>
  <sheetData>
    <row r="1" spans="1:19" s="49" customFormat="1" ht="102" customHeight="1" x14ac:dyDescent="0.2">
      <c r="A1" s="576"/>
      <c r="B1" s="577"/>
      <c r="C1" s="577"/>
      <c r="D1" s="577"/>
      <c r="E1" s="577"/>
      <c r="F1" s="577"/>
      <c r="G1" s="577"/>
      <c r="H1" s="577"/>
      <c r="I1" s="578"/>
    </row>
    <row r="2" spans="1:19" s="24" customFormat="1" ht="20.100000000000001" customHeight="1" x14ac:dyDescent="0.2">
      <c r="A2" s="643" t="s">
        <v>493</v>
      </c>
      <c r="B2" s="644"/>
      <c r="C2" s="644"/>
      <c r="D2" s="644"/>
      <c r="E2" s="644"/>
      <c r="F2" s="644"/>
      <c r="G2" s="644"/>
      <c r="H2" s="644"/>
      <c r="I2" s="645"/>
      <c r="J2" s="62"/>
    </row>
    <row r="3" spans="1:19" s="24" customFormat="1" ht="20.100000000000001" customHeight="1" thickBot="1" x14ac:dyDescent="0.25">
      <c r="A3" s="643" t="s">
        <v>765</v>
      </c>
      <c r="B3" s="644"/>
      <c r="C3" s="644"/>
      <c r="D3" s="644"/>
      <c r="E3" s="644"/>
      <c r="F3" s="644"/>
      <c r="G3" s="644"/>
      <c r="H3" s="644"/>
      <c r="I3" s="645"/>
    </row>
    <row r="4" spans="1:19" s="49" customFormat="1" ht="12" customHeight="1" x14ac:dyDescent="0.2">
      <c r="A4" s="212" t="s">
        <v>435</v>
      </c>
      <c r="B4" s="238" t="s">
        <v>340</v>
      </c>
      <c r="C4" s="238" t="s">
        <v>341</v>
      </c>
      <c r="D4" s="238" t="s">
        <v>342</v>
      </c>
      <c r="E4" s="238" t="s">
        <v>343</v>
      </c>
      <c r="F4" s="217" t="s">
        <v>344</v>
      </c>
      <c r="G4" s="217" t="s">
        <v>597</v>
      </c>
      <c r="H4" s="217" t="s">
        <v>727</v>
      </c>
      <c r="I4" s="334" t="s">
        <v>436</v>
      </c>
      <c r="K4" s="25" t="s">
        <v>435</v>
      </c>
      <c r="L4" s="234" t="s">
        <v>340</v>
      </c>
      <c r="M4" s="234" t="s">
        <v>341</v>
      </c>
      <c r="N4" s="234" t="s">
        <v>342</v>
      </c>
      <c r="O4" s="234" t="s">
        <v>343</v>
      </c>
      <c r="P4" s="340" t="s">
        <v>344</v>
      </c>
      <c r="Q4" s="341" t="s">
        <v>597</v>
      </c>
      <c r="R4" s="341" t="s">
        <v>727</v>
      </c>
      <c r="S4" s="342" t="s">
        <v>436</v>
      </c>
    </row>
    <row r="5" spans="1:19" s="49" customFormat="1" ht="12" customHeight="1" x14ac:dyDescent="0.2">
      <c r="A5" s="27" t="s">
        <v>329</v>
      </c>
      <c r="B5" s="28">
        <f>SUM(L5-(L5*Capa!$C$1))</f>
        <v>105.062</v>
      </c>
      <c r="C5" s="28">
        <f>SUM(M5-(M5*Capa!$C$1))</f>
        <v>108.547</v>
      </c>
      <c r="D5" s="28">
        <f>SUM(N5-(N5*Capa!$C$1))</f>
        <v>112.032</v>
      </c>
      <c r="E5" s="28">
        <f>SUM(O5-(O5*Capa!$C$1))</f>
        <v>115.517</v>
      </c>
      <c r="F5" s="28">
        <f>SUM(P5-(P5*Capa!$C$1))</f>
        <v>119.002</v>
      </c>
      <c r="G5" s="28">
        <f>SUM(Q5-(Q5*Capa!$C$1))</f>
        <v>91.122</v>
      </c>
      <c r="H5" s="28">
        <f>SUM(R5-(R5*Capa!$C$1))</f>
        <v>91.122</v>
      </c>
      <c r="I5" s="170">
        <f>SUM(S5-(S5*Capa!$C$1))</f>
        <v>73.150000000000006</v>
      </c>
      <c r="K5" s="27" t="s">
        <v>329</v>
      </c>
      <c r="L5" s="61">
        <v>105.062</v>
      </c>
      <c r="M5" s="61">
        <v>108.547</v>
      </c>
      <c r="N5" s="61">
        <v>112.032</v>
      </c>
      <c r="O5" s="61">
        <v>115.517</v>
      </c>
      <c r="P5" s="61">
        <v>119.002</v>
      </c>
      <c r="Q5" s="60">
        <v>91.122</v>
      </c>
      <c r="R5" s="60">
        <v>91.122</v>
      </c>
      <c r="S5" s="170">
        <v>73.150000000000006</v>
      </c>
    </row>
    <row r="6" spans="1:19" s="49" customFormat="1" ht="12" customHeight="1" x14ac:dyDescent="0.2">
      <c r="A6" s="215" t="s">
        <v>335</v>
      </c>
      <c r="B6" s="216">
        <f>SUM(L6-(L6*Capa!$C$1))</f>
        <v>125.82100000000001</v>
      </c>
      <c r="C6" s="216">
        <f>SUM(M6-(M6*Capa!$C$1))</f>
        <v>131.04850000000002</v>
      </c>
      <c r="D6" s="216">
        <f>SUM(N6-(N6*Capa!$C$1))</f>
        <v>136.27600000000001</v>
      </c>
      <c r="E6" s="216">
        <f>SUM(O6-(O6*Capa!$C$1))</f>
        <v>141.50350000000003</v>
      </c>
      <c r="F6" s="216">
        <f>SUM(P6-(P6*Capa!$C$1))</f>
        <v>146.73100000000002</v>
      </c>
      <c r="G6" s="216">
        <f>SUM(Q6-(Q6*Capa!$C$1))</f>
        <v>104.91100000000002</v>
      </c>
      <c r="H6" s="216">
        <f>SUM(R6-(R6*Capa!$C$1))</f>
        <v>104.91100000000002</v>
      </c>
      <c r="I6" s="193">
        <f>SUM(S6-(S6*Capa!$C$1))</f>
        <v>84.55</v>
      </c>
      <c r="K6" s="215" t="s">
        <v>335</v>
      </c>
      <c r="L6" s="339">
        <v>125.82100000000001</v>
      </c>
      <c r="M6" s="339">
        <v>131.04850000000002</v>
      </c>
      <c r="N6" s="339">
        <v>136.27600000000001</v>
      </c>
      <c r="O6" s="339">
        <v>141.50350000000003</v>
      </c>
      <c r="P6" s="339">
        <v>146.73100000000002</v>
      </c>
      <c r="Q6" s="338">
        <v>104.91100000000002</v>
      </c>
      <c r="R6" s="338">
        <v>104.91100000000002</v>
      </c>
      <c r="S6" s="193">
        <v>84.55</v>
      </c>
    </row>
    <row r="7" spans="1:19" s="49" customFormat="1" ht="12" customHeight="1" x14ac:dyDescent="0.2">
      <c r="A7" s="27" t="s">
        <v>330</v>
      </c>
      <c r="B7" s="28">
        <f>SUM(L7-(L7*Capa!$C$1))</f>
        <v>146.352</v>
      </c>
      <c r="C7" s="28">
        <f>SUM(M7-(M7*Capa!$C$1))</f>
        <v>153.322</v>
      </c>
      <c r="D7" s="28">
        <f>SUM(N7-(N7*Capa!$C$1))</f>
        <v>160.292</v>
      </c>
      <c r="E7" s="28">
        <f>SUM(O7-(O7*Capa!$C$1))</f>
        <v>167.262</v>
      </c>
      <c r="F7" s="28">
        <f>SUM(P7-(P7*Capa!$C$1))</f>
        <v>174.232</v>
      </c>
      <c r="G7" s="28">
        <f>SUM(Q7-(Q7*Capa!$C$1))</f>
        <v>118.47200000000001</v>
      </c>
      <c r="H7" s="28">
        <f>SUM(R7-(R7*Capa!$C$1))</f>
        <v>118.47200000000001</v>
      </c>
      <c r="I7" s="170">
        <f>SUM(S7-(S7*Capa!$C$1))</f>
        <v>98.8</v>
      </c>
      <c r="K7" s="27" t="s">
        <v>330</v>
      </c>
      <c r="L7" s="61">
        <v>146.352</v>
      </c>
      <c r="M7" s="61">
        <v>153.322</v>
      </c>
      <c r="N7" s="61">
        <v>160.292</v>
      </c>
      <c r="O7" s="61">
        <v>167.262</v>
      </c>
      <c r="P7" s="61">
        <v>174.232</v>
      </c>
      <c r="Q7" s="60">
        <v>118.47200000000001</v>
      </c>
      <c r="R7" s="60">
        <v>118.47200000000001</v>
      </c>
      <c r="S7" s="170">
        <v>98.8</v>
      </c>
    </row>
    <row r="8" spans="1:19" s="49" customFormat="1" ht="12" customHeight="1" x14ac:dyDescent="0.2">
      <c r="A8" s="215" t="s">
        <v>336</v>
      </c>
      <c r="B8" s="216">
        <f>SUM(L8-(L8*Capa!$C$1))</f>
        <v>171.09300000000002</v>
      </c>
      <c r="C8" s="216">
        <f>SUM(M8-(M8*Capa!$C$1))</f>
        <v>179.80550000000002</v>
      </c>
      <c r="D8" s="216">
        <f>SUM(N8-(N8*Capa!$C$1))</f>
        <v>188.51800000000003</v>
      </c>
      <c r="E8" s="216">
        <f>SUM(O8-(O8*Capa!$C$1))</f>
        <v>197.23050000000001</v>
      </c>
      <c r="F8" s="216">
        <f>SUM(P8-(P8*Capa!$C$1))</f>
        <v>205.94300000000004</v>
      </c>
      <c r="G8" s="216">
        <f>SUM(Q8-(Q8*Capa!$C$1))</f>
        <v>136.24300000000002</v>
      </c>
      <c r="H8" s="216">
        <f>SUM(R8-(R8*Capa!$C$1))</f>
        <v>136.24300000000002</v>
      </c>
      <c r="I8" s="193">
        <f>SUM(S8-(S8*Capa!$C$1))</f>
        <v>110.2</v>
      </c>
      <c r="K8" s="215" t="s">
        <v>336</v>
      </c>
      <c r="L8" s="339">
        <v>171.09300000000002</v>
      </c>
      <c r="M8" s="339">
        <v>179.80550000000002</v>
      </c>
      <c r="N8" s="339">
        <v>188.51800000000003</v>
      </c>
      <c r="O8" s="339">
        <v>197.23050000000001</v>
      </c>
      <c r="P8" s="339">
        <v>205.94300000000004</v>
      </c>
      <c r="Q8" s="338">
        <v>136.24300000000002</v>
      </c>
      <c r="R8" s="338">
        <v>136.24300000000002</v>
      </c>
      <c r="S8" s="193">
        <v>110.2</v>
      </c>
    </row>
    <row r="9" spans="1:19" s="49" customFormat="1" ht="12" customHeight="1" x14ac:dyDescent="0.2">
      <c r="A9" s="27" t="s">
        <v>331</v>
      </c>
      <c r="B9" s="28">
        <f>SUM(L9-(L9*Capa!$C$1))</f>
        <v>193.91199999999998</v>
      </c>
      <c r="C9" s="28">
        <f>SUM(M9-(M9*Capa!$C$1))</f>
        <v>204.36699999999999</v>
      </c>
      <c r="D9" s="28">
        <f>SUM(N9-(N9*Capa!$C$1))</f>
        <v>214.82199999999997</v>
      </c>
      <c r="E9" s="28">
        <f>SUM(O9-(O9*Capa!$C$1))</f>
        <v>225.27699999999999</v>
      </c>
      <c r="F9" s="28">
        <f>SUM(P9-(P9*Capa!$C$1))</f>
        <v>235.73199999999997</v>
      </c>
      <c r="G9" s="28">
        <f>SUM(Q9-(Q9*Capa!$C$1))</f>
        <v>152.09199999999998</v>
      </c>
      <c r="H9" s="28">
        <f>SUM(R9-(R9*Capa!$C$1))</f>
        <v>152.09199999999998</v>
      </c>
      <c r="I9" s="170">
        <f>SUM(S9-(S9*Capa!$C$1))</f>
        <v>124.45</v>
      </c>
      <c r="K9" s="27" t="s">
        <v>331</v>
      </c>
      <c r="L9" s="61">
        <v>193.91199999999998</v>
      </c>
      <c r="M9" s="61">
        <v>204.36699999999999</v>
      </c>
      <c r="N9" s="61">
        <v>214.82199999999997</v>
      </c>
      <c r="O9" s="61">
        <v>225.27699999999999</v>
      </c>
      <c r="P9" s="61">
        <v>235.73199999999997</v>
      </c>
      <c r="Q9" s="60">
        <v>152.09199999999998</v>
      </c>
      <c r="R9" s="60">
        <v>152.09199999999998</v>
      </c>
      <c r="S9" s="170">
        <v>124.45</v>
      </c>
    </row>
    <row r="10" spans="1:19" s="49" customFormat="1" ht="12" customHeight="1" x14ac:dyDescent="0.2">
      <c r="A10" s="215" t="s">
        <v>337</v>
      </c>
      <c r="B10" s="216">
        <f>SUM(L10-(L10*Capa!$C$1))</f>
        <v>213.66499999999999</v>
      </c>
      <c r="C10" s="216">
        <f>SUM(M10-(M10*Capa!$C$1))</f>
        <v>225.86250000000001</v>
      </c>
      <c r="D10" s="216">
        <f>SUM(N10-(N10*Capa!$C$1))</f>
        <v>238.06</v>
      </c>
      <c r="E10" s="216">
        <f>SUM(O10-(O10*Capa!$C$1))</f>
        <v>250.25749999999999</v>
      </c>
      <c r="F10" s="216">
        <f>SUM(P10-(P10*Capa!$C$1))</f>
        <v>262.45499999999998</v>
      </c>
      <c r="G10" s="216">
        <f>SUM(Q10-(Q10*Capa!$C$1))</f>
        <v>164.875</v>
      </c>
      <c r="H10" s="216">
        <f>SUM(R10-(R10*Capa!$C$1))</f>
        <v>164.875</v>
      </c>
      <c r="I10" s="193">
        <f>SUM(S10-(S10*Capa!$C$1))</f>
        <v>135.85</v>
      </c>
      <c r="K10" s="215" t="s">
        <v>337</v>
      </c>
      <c r="L10" s="339">
        <v>213.66499999999999</v>
      </c>
      <c r="M10" s="339">
        <v>225.86250000000001</v>
      </c>
      <c r="N10" s="339">
        <v>238.06</v>
      </c>
      <c r="O10" s="339">
        <v>250.25749999999999</v>
      </c>
      <c r="P10" s="339">
        <v>262.45499999999998</v>
      </c>
      <c r="Q10" s="338">
        <v>164.875</v>
      </c>
      <c r="R10" s="338">
        <v>164.875</v>
      </c>
      <c r="S10" s="193">
        <v>135.85</v>
      </c>
    </row>
    <row r="11" spans="1:19" s="49" customFormat="1" ht="12" customHeight="1" x14ac:dyDescent="0.2">
      <c r="A11" s="27" t="s">
        <v>332</v>
      </c>
      <c r="B11" s="28">
        <f>SUM(L11-(L11*Capa!$C$1))</f>
        <v>237.25399999999999</v>
      </c>
      <c r="C11" s="28">
        <f>SUM(M11-(M11*Capa!$C$1))</f>
        <v>251.19400000000002</v>
      </c>
      <c r="D11" s="28">
        <f>SUM(N11-(N11*Capa!$C$1))</f>
        <v>265.13400000000001</v>
      </c>
      <c r="E11" s="28">
        <f>SUM(O11-(O11*Capa!$C$1))</f>
        <v>279.07400000000001</v>
      </c>
      <c r="F11" s="28">
        <f>SUM(P11-(P11*Capa!$C$1))</f>
        <v>293.01400000000001</v>
      </c>
      <c r="G11" s="28">
        <f>SUM(Q11-(Q11*Capa!$C$1))</f>
        <v>181.494</v>
      </c>
      <c r="H11" s="28">
        <f>SUM(R11-(R11*Capa!$C$1))</f>
        <v>181.494</v>
      </c>
      <c r="I11" s="170">
        <f>SUM(S11-(S11*Capa!$C$1))</f>
        <v>150.1</v>
      </c>
      <c r="K11" s="27" t="s">
        <v>332</v>
      </c>
      <c r="L11" s="61">
        <v>237.25399999999999</v>
      </c>
      <c r="M11" s="61">
        <v>251.19400000000002</v>
      </c>
      <c r="N11" s="61">
        <v>265.13400000000001</v>
      </c>
      <c r="O11" s="61">
        <v>279.07400000000001</v>
      </c>
      <c r="P11" s="61">
        <v>293.01400000000001</v>
      </c>
      <c r="Q11" s="60">
        <v>181.494</v>
      </c>
      <c r="R11" s="60">
        <v>181.494</v>
      </c>
      <c r="S11" s="170">
        <v>150.1</v>
      </c>
    </row>
    <row r="12" spans="1:19" s="49" customFormat="1" ht="12" customHeight="1" x14ac:dyDescent="0.2">
      <c r="A12" s="215" t="s">
        <v>338</v>
      </c>
      <c r="B12" s="216">
        <f>SUM(L12-(L12*Capa!$C$1))</f>
        <v>257.00700000000001</v>
      </c>
      <c r="C12" s="216">
        <f>SUM(M12-(M12*Capa!$C$1))</f>
        <v>272.68949999999995</v>
      </c>
      <c r="D12" s="216">
        <f>SUM(N12-(N12*Capa!$C$1))</f>
        <v>288.37199999999996</v>
      </c>
      <c r="E12" s="216">
        <f>SUM(O12-(O12*Capa!$C$1))</f>
        <v>304.05449999999996</v>
      </c>
      <c r="F12" s="216">
        <f>SUM(P12-(P12*Capa!$C$1))</f>
        <v>319.73699999999997</v>
      </c>
      <c r="G12" s="216">
        <f>SUM(Q12-(Q12*Capa!$C$1))</f>
        <v>194.27699999999999</v>
      </c>
      <c r="H12" s="216">
        <f>SUM(R12-(R12*Capa!$C$1))</f>
        <v>194.27699999999999</v>
      </c>
      <c r="I12" s="193">
        <f>SUM(S12-(S12*Capa!$C$1))</f>
        <v>161.5</v>
      </c>
      <c r="K12" s="215" t="s">
        <v>338</v>
      </c>
      <c r="L12" s="339">
        <v>257.00700000000001</v>
      </c>
      <c r="M12" s="339">
        <v>272.68949999999995</v>
      </c>
      <c r="N12" s="339">
        <v>288.37199999999996</v>
      </c>
      <c r="O12" s="339">
        <v>304.05449999999996</v>
      </c>
      <c r="P12" s="339">
        <v>319.73699999999997</v>
      </c>
      <c r="Q12" s="338">
        <v>194.27699999999999</v>
      </c>
      <c r="R12" s="338">
        <v>194.27699999999999</v>
      </c>
      <c r="S12" s="193">
        <v>161.5</v>
      </c>
    </row>
    <row r="13" spans="1:19" s="49" customFormat="1" ht="12" customHeight="1" x14ac:dyDescent="0.2">
      <c r="A13" s="27" t="s">
        <v>333</v>
      </c>
      <c r="B13" s="28">
        <f>SUM(L13-(L13*Capa!$C$1))</f>
        <v>287.80799999999999</v>
      </c>
      <c r="C13" s="28">
        <f>SUM(M13-(M13*Capa!$C$1))</f>
        <v>305.233</v>
      </c>
      <c r="D13" s="28">
        <f>SUM(N13-(N13*Capa!$C$1))</f>
        <v>322.65800000000002</v>
      </c>
      <c r="E13" s="28">
        <f>SUM(O13-(O13*Capa!$C$1))</f>
        <v>340.08299999999997</v>
      </c>
      <c r="F13" s="28">
        <f>SUM(P13-(P13*Capa!$C$1))</f>
        <v>357.50800000000004</v>
      </c>
      <c r="G13" s="28">
        <f>SUM(Q13-(Q13*Capa!$C$1))</f>
        <v>218.108</v>
      </c>
      <c r="H13" s="28">
        <f>SUM(R13-(R13*Capa!$C$1))</f>
        <v>218.108</v>
      </c>
      <c r="I13" s="170">
        <f>SUM(S13-(S13*Capa!$C$1))</f>
        <v>175.75</v>
      </c>
      <c r="K13" s="27" t="s">
        <v>333</v>
      </c>
      <c r="L13" s="61">
        <v>287.80799999999999</v>
      </c>
      <c r="M13" s="61">
        <v>305.233</v>
      </c>
      <c r="N13" s="61">
        <v>322.65800000000002</v>
      </c>
      <c r="O13" s="61">
        <v>340.08299999999997</v>
      </c>
      <c r="P13" s="61">
        <v>357.50800000000004</v>
      </c>
      <c r="Q13" s="60">
        <v>218.108</v>
      </c>
      <c r="R13" s="60">
        <v>218.108</v>
      </c>
      <c r="S13" s="170">
        <v>175.75</v>
      </c>
    </row>
    <row r="14" spans="1:19" s="49" customFormat="1" ht="12" customHeight="1" x14ac:dyDescent="0.2">
      <c r="A14" s="215" t="s">
        <v>339</v>
      </c>
      <c r="B14" s="216">
        <f>SUM(L14-(L14*Capa!$C$1))</f>
        <v>305.291</v>
      </c>
      <c r="C14" s="216">
        <f>SUM(M14-(M14*Capa!$C$1))</f>
        <v>324.45850000000002</v>
      </c>
      <c r="D14" s="216">
        <f>SUM(N14-(N14*Capa!$C$1))</f>
        <v>343.62599999999998</v>
      </c>
      <c r="E14" s="216">
        <f>SUM(O14-(O14*Capa!$C$1))</f>
        <v>362.79349999999999</v>
      </c>
      <c r="F14" s="216">
        <f>SUM(P14-(P14*Capa!$C$1))</f>
        <v>381.96100000000001</v>
      </c>
      <c r="G14" s="216">
        <f>SUM(Q14-(Q14*Capa!$C$1))</f>
        <v>228.62100000000001</v>
      </c>
      <c r="H14" s="216">
        <f>SUM(R14-(R14*Capa!$C$1))</f>
        <v>228.62100000000001</v>
      </c>
      <c r="I14" s="193">
        <f>SUM(S14-(S14*Capa!$C$1))</f>
        <v>188.19</v>
      </c>
      <c r="K14" s="215" t="s">
        <v>339</v>
      </c>
      <c r="L14" s="339">
        <v>305.291</v>
      </c>
      <c r="M14" s="339">
        <v>324.45850000000002</v>
      </c>
      <c r="N14" s="339">
        <v>343.62599999999998</v>
      </c>
      <c r="O14" s="339">
        <v>362.79349999999999</v>
      </c>
      <c r="P14" s="339">
        <v>381.96100000000001</v>
      </c>
      <c r="Q14" s="338">
        <v>228.62100000000001</v>
      </c>
      <c r="R14" s="338">
        <v>228.62100000000001</v>
      </c>
      <c r="S14" s="193">
        <v>188.19</v>
      </c>
    </row>
    <row r="15" spans="1:19" s="49" customFormat="1" ht="12" customHeight="1" thickBot="1" x14ac:dyDescent="0.25">
      <c r="A15" s="27" t="s">
        <v>334</v>
      </c>
      <c r="B15" s="28">
        <f>SUM(L15-(L15*Capa!$C$1))</f>
        <v>322.78000000000003</v>
      </c>
      <c r="C15" s="28">
        <f>SUM(M15-(M15*Capa!$C$1))</f>
        <v>343.69</v>
      </c>
      <c r="D15" s="28">
        <f>SUM(N15-(N15*Capa!$C$1))</f>
        <v>364.6</v>
      </c>
      <c r="E15" s="28">
        <f>SUM(O15-(O15*Capa!$C$1))</f>
        <v>385.51</v>
      </c>
      <c r="F15" s="28">
        <f>SUM(P15-(P15*Capa!$C$1))</f>
        <v>406.42</v>
      </c>
      <c r="G15" s="28">
        <f>SUM(Q15-(Q15*Capa!$C$1))</f>
        <v>239.14000000000001</v>
      </c>
      <c r="H15" s="28">
        <f>SUM(R15-(R15*Capa!$C$1))</f>
        <v>239.14000000000001</v>
      </c>
      <c r="I15" s="170">
        <f>SUM(S15-(S15*Capa!$C$1))</f>
        <v>200.64</v>
      </c>
      <c r="K15" s="158" t="s">
        <v>334</v>
      </c>
      <c r="L15" s="159">
        <v>322.78000000000003</v>
      </c>
      <c r="M15" s="159">
        <v>343.69</v>
      </c>
      <c r="N15" s="159">
        <v>364.6</v>
      </c>
      <c r="O15" s="159">
        <v>385.51</v>
      </c>
      <c r="P15" s="159">
        <v>406.42</v>
      </c>
      <c r="Q15" s="160">
        <v>239.14000000000001</v>
      </c>
      <c r="R15" s="160">
        <v>239.14000000000001</v>
      </c>
      <c r="S15" s="356">
        <v>200.64</v>
      </c>
    </row>
    <row r="16" spans="1:19" s="24" customFormat="1" ht="20.100000000000001" customHeight="1" x14ac:dyDescent="0.2">
      <c r="A16" s="643" t="s">
        <v>494</v>
      </c>
      <c r="B16" s="644"/>
      <c r="C16" s="644"/>
      <c r="D16" s="644"/>
      <c r="E16" s="644"/>
      <c r="F16" s="644"/>
      <c r="G16" s="644"/>
      <c r="H16" s="644"/>
      <c r="I16" s="645"/>
      <c r="J16" s="62"/>
    </row>
    <row r="17" spans="1:19" s="24" customFormat="1" ht="20.100000000000001" customHeight="1" thickBot="1" x14ac:dyDescent="0.25">
      <c r="A17" s="643" t="s">
        <v>765</v>
      </c>
      <c r="B17" s="644"/>
      <c r="C17" s="644"/>
      <c r="D17" s="644"/>
      <c r="E17" s="644"/>
      <c r="F17" s="644"/>
      <c r="G17" s="644"/>
      <c r="H17" s="644"/>
      <c r="I17" s="645"/>
    </row>
    <row r="18" spans="1:19" s="49" customFormat="1" ht="12" customHeight="1" x14ac:dyDescent="0.2">
      <c r="A18" s="212" t="s">
        <v>435</v>
      </c>
      <c r="B18" s="238" t="s">
        <v>340</v>
      </c>
      <c r="C18" s="238" t="s">
        <v>341</v>
      </c>
      <c r="D18" s="238" t="s">
        <v>342</v>
      </c>
      <c r="E18" s="238" t="s">
        <v>343</v>
      </c>
      <c r="F18" s="217" t="s">
        <v>344</v>
      </c>
      <c r="G18" s="217" t="s">
        <v>597</v>
      </c>
      <c r="H18" s="217" t="s">
        <v>727</v>
      </c>
      <c r="I18" s="334" t="s">
        <v>436</v>
      </c>
      <c r="K18" s="25" t="s">
        <v>435</v>
      </c>
      <c r="L18" s="234" t="s">
        <v>340</v>
      </c>
      <c r="M18" s="234" t="s">
        <v>341</v>
      </c>
      <c r="N18" s="234" t="s">
        <v>342</v>
      </c>
      <c r="O18" s="234" t="s">
        <v>343</v>
      </c>
      <c r="P18" s="340" t="s">
        <v>344</v>
      </c>
      <c r="Q18" s="341" t="s">
        <v>597</v>
      </c>
      <c r="R18" s="341" t="s">
        <v>727</v>
      </c>
      <c r="S18" s="342" t="s">
        <v>436</v>
      </c>
    </row>
    <row r="19" spans="1:19" s="49" customFormat="1" ht="12" customHeight="1" x14ac:dyDescent="0.2">
      <c r="A19" s="27" t="s">
        <v>329</v>
      </c>
      <c r="B19" s="28">
        <f>SUM(L19-(L19*Capa!$C$1))</f>
        <v>65.786000000000001</v>
      </c>
      <c r="C19" s="28">
        <f>SUM(M19-(M19*Capa!$C$1))</f>
        <v>69.271000000000001</v>
      </c>
      <c r="D19" s="28">
        <f>SUM(N19-(N19*Capa!$C$1))</f>
        <v>72.756</v>
      </c>
      <c r="E19" s="28">
        <f>SUM(O19-(O19*Capa!$C$1))</f>
        <v>76.241</v>
      </c>
      <c r="F19" s="28">
        <f>SUM(P19-(P19*Capa!$C$1))</f>
        <v>79.725999999999999</v>
      </c>
      <c r="G19" s="28">
        <f>SUM(Q19-(Q19*Capa!$C$1))</f>
        <v>51.846000000000004</v>
      </c>
      <c r="H19" s="28">
        <f>SUM(R19-(R19*Capa!$C$1))</f>
        <v>51.846000000000004</v>
      </c>
      <c r="I19" s="170">
        <f>SUM(S19-(S19*Capa!$C$1))</f>
        <v>45.6</v>
      </c>
      <c r="K19" s="27" t="s">
        <v>329</v>
      </c>
      <c r="L19" s="61">
        <v>65.786000000000001</v>
      </c>
      <c r="M19" s="61">
        <v>69.271000000000001</v>
      </c>
      <c r="N19" s="61">
        <v>72.756</v>
      </c>
      <c r="O19" s="61">
        <v>76.241</v>
      </c>
      <c r="P19" s="61">
        <v>79.725999999999999</v>
      </c>
      <c r="Q19" s="60">
        <v>51.846000000000004</v>
      </c>
      <c r="R19" s="60">
        <v>51.846000000000004</v>
      </c>
      <c r="S19" s="170">
        <v>45.6</v>
      </c>
    </row>
    <row r="20" spans="1:19" s="49" customFormat="1" ht="12" customHeight="1" x14ac:dyDescent="0.2">
      <c r="A20" s="215" t="s">
        <v>335</v>
      </c>
      <c r="B20" s="216">
        <f>SUM(L20-(L20*Capa!$C$1))</f>
        <v>85.533000000000001</v>
      </c>
      <c r="C20" s="216">
        <f>SUM(M20-(M20*Capa!$C$1))</f>
        <v>90.760500000000008</v>
      </c>
      <c r="D20" s="216">
        <f>SUM(N20-(N20*Capa!$C$1))</f>
        <v>95.988</v>
      </c>
      <c r="E20" s="216">
        <f>SUM(O20-(O20*Capa!$C$1))</f>
        <v>101.21550000000001</v>
      </c>
      <c r="F20" s="216">
        <f>SUM(P20-(P20*Capa!$C$1))</f>
        <v>106.44300000000001</v>
      </c>
      <c r="G20" s="216">
        <f>SUM(Q20-(Q20*Capa!$C$1))</f>
        <v>64.623000000000005</v>
      </c>
      <c r="H20" s="216">
        <f>SUM(R20-(R20*Capa!$C$1))</f>
        <v>64.623000000000005</v>
      </c>
      <c r="I20" s="193">
        <f>SUM(S20-(S20*Capa!$C$1))</f>
        <v>55.1</v>
      </c>
      <c r="K20" s="215" t="s">
        <v>335</v>
      </c>
      <c r="L20" s="339">
        <v>85.533000000000001</v>
      </c>
      <c r="M20" s="339">
        <v>90.760500000000008</v>
      </c>
      <c r="N20" s="339">
        <v>95.988</v>
      </c>
      <c r="O20" s="339">
        <v>101.21550000000001</v>
      </c>
      <c r="P20" s="339">
        <v>106.44300000000001</v>
      </c>
      <c r="Q20" s="338">
        <v>64.623000000000005</v>
      </c>
      <c r="R20" s="338">
        <v>64.623000000000005</v>
      </c>
      <c r="S20" s="193">
        <v>55.1</v>
      </c>
    </row>
    <row r="21" spans="1:19" s="49" customFormat="1" ht="12" customHeight="1" x14ac:dyDescent="0.2">
      <c r="A21" s="27" t="s">
        <v>330</v>
      </c>
      <c r="B21" s="28">
        <f>SUM(L21-(L21*Capa!$C$1))</f>
        <v>107.208</v>
      </c>
      <c r="C21" s="28">
        <f>SUM(M21-(M21*Capa!$C$1))</f>
        <v>114.178</v>
      </c>
      <c r="D21" s="28">
        <f>SUM(N21-(N21*Capa!$C$1))</f>
        <v>121.148</v>
      </c>
      <c r="E21" s="28">
        <f>SUM(O21-(O21*Capa!$C$1))</f>
        <v>128.11799999999999</v>
      </c>
      <c r="F21" s="28">
        <f>SUM(P21-(P21*Capa!$C$1))</f>
        <v>135.08799999999999</v>
      </c>
      <c r="G21" s="28">
        <f>SUM(Q21-(Q21*Capa!$C$1))</f>
        <v>79.328000000000003</v>
      </c>
      <c r="H21" s="28">
        <f>SUM(R21-(R21*Capa!$C$1))</f>
        <v>79.328000000000003</v>
      </c>
      <c r="I21" s="170">
        <f>SUM(S21-(S21*Capa!$C$1))</f>
        <v>69.349999999999994</v>
      </c>
      <c r="K21" s="27" t="s">
        <v>330</v>
      </c>
      <c r="L21" s="61">
        <v>107.208</v>
      </c>
      <c r="M21" s="61">
        <v>114.178</v>
      </c>
      <c r="N21" s="61">
        <v>121.148</v>
      </c>
      <c r="O21" s="61">
        <v>128.11799999999999</v>
      </c>
      <c r="P21" s="61">
        <v>135.08799999999999</v>
      </c>
      <c r="Q21" s="60">
        <v>79.328000000000003</v>
      </c>
      <c r="R21" s="60">
        <v>79.328000000000003</v>
      </c>
      <c r="S21" s="170">
        <v>69.349999999999994</v>
      </c>
    </row>
    <row r="22" spans="1:19" s="49" customFormat="1" ht="12" customHeight="1" x14ac:dyDescent="0.2">
      <c r="A22" s="215" t="s">
        <v>336</v>
      </c>
      <c r="B22" s="216">
        <f>SUM(L22-(L22*Capa!$C$1))</f>
        <v>127.155</v>
      </c>
      <c r="C22" s="216">
        <f>SUM(M22-(M22*Capa!$C$1))</f>
        <v>135.86750000000001</v>
      </c>
      <c r="D22" s="216">
        <f>SUM(N22-(N22*Capa!$C$1))</f>
        <v>144.57999999999998</v>
      </c>
      <c r="E22" s="216">
        <f>SUM(O22-(O22*Capa!$C$1))</f>
        <v>153.29249999999999</v>
      </c>
      <c r="F22" s="216">
        <f>SUM(P22-(P22*Capa!$C$1))</f>
        <v>162.005</v>
      </c>
      <c r="G22" s="216">
        <f>SUM(Q22-(Q22*Capa!$C$1))</f>
        <v>92.304999999999993</v>
      </c>
      <c r="H22" s="216">
        <f>SUM(R22-(R22*Capa!$C$1))</f>
        <v>92.304999999999993</v>
      </c>
      <c r="I22" s="193">
        <f>SUM(S22-(S22*Capa!$C$1))</f>
        <v>79.8</v>
      </c>
      <c r="K22" s="215" t="s">
        <v>336</v>
      </c>
      <c r="L22" s="339">
        <v>127.155</v>
      </c>
      <c r="M22" s="339">
        <v>135.86750000000001</v>
      </c>
      <c r="N22" s="339">
        <v>144.57999999999998</v>
      </c>
      <c r="O22" s="339">
        <v>153.29249999999999</v>
      </c>
      <c r="P22" s="339">
        <v>162.005</v>
      </c>
      <c r="Q22" s="338">
        <v>92.304999999999993</v>
      </c>
      <c r="R22" s="338">
        <v>92.304999999999993</v>
      </c>
      <c r="S22" s="193">
        <v>79.8</v>
      </c>
    </row>
    <row r="23" spans="1:19" s="49" customFormat="1" ht="12" customHeight="1" x14ac:dyDescent="0.2">
      <c r="A23" s="27" t="s">
        <v>331</v>
      </c>
      <c r="B23" s="28">
        <f>SUM(L23-(L23*Capa!$C$1))</f>
        <v>148.636</v>
      </c>
      <c r="C23" s="28">
        <f>SUM(M23-(M23*Capa!$C$1))</f>
        <v>159.09100000000001</v>
      </c>
      <c r="D23" s="28">
        <f>SUM(N23-(N23*Capa!$C$1))</f>
        <v>169.54599999999999</v>
      </c>
      <c r="E23" s="28">
        <f>SUM(O23-(O23*Capa!$C$1))</f>
        <v>180.001</v>
      </c>
      <c r="F23" s="28">
        <f>SUM(P23-(P23*Capa!$C$1))</f>
        <v>190.45600000000002</v>
      </c>
      <c r="G23" s="28">
        <f>SUM(Q23-(Q23*Capa!$C$1))</f>
        <v>106.816</v>
      </c>
      <c r="H23" s="28">
        <f>SUM(R23-(R23*Capa!$C$1))</f>
        <v>106.816</v>
      </c>
      <c r="I23" s="170">
        <f>SUM(S23-(S23*Capa!$C$1))</f>
        <v>94.05</v>
      </c>
      <c r="K23" s="27" t="s">
        <v>331</v>
      </c>
      <c r="L23" s="61">
        <v>148.636</v>
      </c>
      <c r="M23" s="61">
        <v>159.09100000000001</v>
      </c>
      <c r="N23" s="61">
        <v>169.54599999999999</v>
      </c>
      <c r="O23" s="61">
        <v>180.001</v>
      </c>
      <c r="P23" s="61">
        <v>190.45600000000002</v>
      </c>
      <c r="Q23" s="60">
        <v>106.816</v>
      </c>
      <c r="R23" s="60">
        <v>106.816</v>
      </c>
      <c r="S23" s="170">
        <v>94.05</v>
      </c>
    </row>
    <row r="24" spans="1:19" s="49" customFormat="1" ht="12" customHeight="1" x14ac:dyDescent="0.2">
      <c r="A24" s="215" t="s">
        <v>337</v>
      </c>
      <c r="B24" s="216">
        <f>SUM(L24-(L24*Capa!$C$1))</f>
        <v>168.577</v>
      </c>
      <c r="C24" s="216">
        <f>SUM(M24-(M24*Capa!$C$1))</f>
        <v>180.77449999999999</v>
      </c>
      <c r="D24" s="216">
        <f>SUM(N24-(N24*Capa!$C$1))</f>
        <v>192.97199999999998</v>
      </c>
      <c r="E24" s="216">
        <f>SUM(O24-(O24*Capa!$C$1))</f>
        <v>205.16949999999997</v>
      </c>
      <c r="F24" s="216">
        <f>SUM(P24-(P24*Capa!$C$1))</f>
        <v>217.36699999999999</v>
      </c>
      <c r="G24" s="216">
        <f>SUM(Q24-(Q24*Capa!$C$1))</f>
        <v>119.78699999999999</v>
      </c>
      <c r="H24" s="216">
        <f>SUM(R24-(R24*Capa!$C$1))</f>
        <v>119.78699999999999</v>
      </c>
      <c r="I24" s="193">
        <f>SUM(S24-(S24*Capa!$C$1))</f>
        <v>104.5</v>
      </c>
      <c r="K24" s="215" t="s">
        <v>337</v>
      </c>
      <c r="L24" s="339">
        <v>168.577</v>
      </c>
      <c r="M24" s="339">
        <v>180.77449999999999</v>
      </c>
      <c r="N24" s="339">
        <v>192.97199999999998</v>
      </c>
      <c r="O24" s="339">
        <v>205.16949999999997</v>
      </c>
      <c r="P24" s="339">
        <v>217.36699999999999</v>
      </c>
      <c r="Q24" s="338">
        <v>119.78699999999999</v>
      </c>
      <c r="R24" s="338">
        <v>119.78699999999999</v>
      </c>
      <c r="S24" s="193">
        <v>104.5</v>
      </c>
    </row>
    <row r="25" spans="1:19" s="49" customFormat="1" ht="12" customHeight="1" x14ac:dyDescent="0.2">
      <c r="A25" s="27" t="s">
        <v>332</v>
      </c>
      <c r="B25" s="28">
        <f>SUM(L25-(L25*Capa!$C$1))</f>
        <v>187.58799999999999</v>
      </c>
      <c r="C25" s="28">
        <f>SUM(M25-(M25*Capa!$C$1))</f>
        <v>201.52800000000002</v>
      </c>
      <c r="D25" s="28">
        <f>SUM(N25-(N25*Capa!$C$1))</f>
        <v>215.46800000000002</v>
      </c>
      <c r="E25" s="28">
        <f>SUM(O25-(O25*Capa!$C$1))</f>
        <v>229.40800000000002</v>
      </c>
      <c r="F25" s="28">
        <f>SUM(P25-(P25*Capa!$C$1))</f>
        <v>243.34800000000001</v>
      </c>
      <c r="G25" s="28">
        <f>SUM(Q25-(Q25*Capa!$C$1))</f>
        <v>131.828</v>
      </c>
      <c r="H25" s="28">
        <f>SUM(R25-(R25*Capa!$C$1))</f>
        <v>131.828</v>
      </c>
      <c r="I25" s="170">
        <f>SUM(S25-(S25*Capa!$C$1))</f>
        <v>117.8</v>
      </c>
      <c r="K25" s="27" t="s">
        <v>332</v>
      </c>
      <c r="L25" s="61">
        <v>187.58799999999999</v>
      </c>
      <c r="M25" s="61">
        <v>201.52800000000002</v>
      </c>
      <c r="N25" s="61">
        <v>215.46800000000002</v>
      </c>
      <c r="O25" s="61">
        <v>229.40800000000002</v>
      </c>
      <c r="P25" s="61">
        <v>243.34800000000001</v>
      </c>
      <c r="Q25" s="60">
        <v>131.828</v>
      </c>
      <c r="R25" s="60">
        <v>131.828</v>
      </c>
      <c r="S25" s="170">
        <v>117.8</v>
      </c>
    </row>
    <row r="26" spans="1:19" s="49" customFormat="1" ht="12" customHeight="1" x14ac:dyDescent="0.2">
      <c r="A26" s="215" t="s">
        <v>338</v>
      </c>
      <c r="B26" s="216">
        <f>SUM(L26-(L26*Capa!$C$1))</f>
        <v>207.34099999999998</v>
      </c>
      <c r="C26" s="216">
        <f>SUM(M26-(M26*Capa!$C$1))</f>
        <v>223.02349999999998</v>
      </c>
      <c r="D26" s="216">
        <f>SUM(N26-(N26*Capa!$C$1))</f>
        <v>238.70599999999999</v>
      </c>
      <c r="E26" s="216">
        <f>SUM(O26-(O26*Capa!$C$1))</f>
        <v>254.38849999999996</v>
      </c>
      <c r="F26" s="216">
        <f>SUM(P26-(P26*Capa!$C$1))</f>
        <v>270.07099999999997</v>
      </c>
      <c r="G26" s="216">
        <f>SUM(Q26-(Q26*Capa!$C$1))</f>
        <v>144.61099999999999</v>
      </c>
      <c r="H26" s="216">
        <f>SUM(R26-(R26*Capa!$C$1))</f>
        <v>144.61099999999999</v>
      </c>
      <c r="I26" s="193">
        <f>SUM(S26-(S26*Capa!$C$1))</f>
        <v>122.5</v>
      </c>
      <c r="K26" s="215" t="s">
        <v>338</v>
      </c>
      <c r="L26" s="339">
        <v>207.34099999999998</v>
      </c>
      <c r="M26" s="339">
        <v>223.02349999999998</v>
      </c>
      <c r="N26" s="339">
        <v>238.70599999999999</v>
      </c>
      <c r="O26" s="339">
        <v>254.38849999999996</v>
      </c>
      <c r="P26" s="339">
        <v>270.07099999999997</v>
      </c>
      <c r="Q26" s="338">
        <v>144.61099999999999</v>
      </c>
      <c r="R26" s="338">
        <v>144.61099999999999</v>
      </c>
      <c r="S26" s="193">
        <v>122.5</v>
      </c>
    </row>
    <row r="27" spans="1:19" s="49" customFormat="1" ht="12" customHeight="1" x14ac:dyDescent="0.2">
      <c r="A27" s="27" t="s">
        <v>333</v>
      </c>
      <c r="B27" s="28">
        <f>SUM(L27-(L27*Capa!$C$1))</f>
        <v>234.67399999999998</v>
      </c>
      <c r="C27" s="28">
        <f>SUM(M27-(M27*Capa!$C$1))</f>
        <v>252.09899999999999</v>
      </c>
      <c r="D27" s="28">
        <f>SUM(N27-(N27*Capa!$C$1))</f>
        <v>269.524</v>
      </c>
      <c r="E27" s="28">
        <f>SUM(O27-(O27*Capa!$C$1))</f>
        <v>286.94899999999996</v>
      </c>
      <c r="F27" s="28">
        <f>SUM(P27-(P27*Capa!$C$1))</f>
        <v>304.37400000000002</v>
      </c>
      <c r="G27" s="28">
        <f>SUM(Q27-(Q27*Capa!$C$1))</f>
        <v>164.97399999999999</v>
      </c>
      <c r="H27" s="28">
        <f>SUM(R27-(R27*Capa!$C$1))</f>
        <v>164.97399999999999</v>
      </c>
      <c r="I27" s="170">
        <f>SUM(S27-(S27*Capa!$C$1))</f>
        <v>140.6</v>
      </c>
      <c r="K27" s="27" t="s">
        <v>333</v>
      </c>
      <c r="L27" s="61">
        <v>234.67399999999998</v>
      </c>
      <c r="M27" s="61">
        <v>252.09899999999999</v>
      </c>
      <c r="N27" s="61">
        <v>269.524</v>
      </c>
      <c r="O27" s="61">
        <v>286.94899999999996</v>
      </c>
      <c r="P27" s="61">
        <v>304.37400000000002</v>
      </c>
      <c r="Q27" s="60">
        <v>164.97399999999999</v>
      </c>
      <c r="R27" s="60">
        <v>164.97399999999999</v>
      </c>
      <c r="S27" s="170">
        <v>140.6</v>
      </c>
    </row>
    <row r="28" spans="1:19" s="49" customFormat="1" ht="12" customHeight="1" x14ac:dyDescent="0.2">
      <c r="A28" s="215" t="s">
        <v>339</v>
      </c>
      <c r="B28" s="216">
        <f>SUM(L28-(L28*Capa!$C$1))</f>
        <v>248.971</v>
      </c>
      <c r="C28" s="216">
        <f>SUM(M28-(M28*Capa!$C$1))</f>
        <v>268.13849999999996</v>
      </c>
      <c r="D28" s="216">
        <f>SUM(N28-(N28*Capa!$C$1))</f>
        <v>287.30599999999998</v>
      </c>
      <c r="E28" s="216">
        <f>SUM(O28-(O28*Capa!$C$1))</f>
        <v>306.47349999999994</v>
      </c>
      <c r="F28" s="216">
        <f>SUM(P28-(P28*Capa!$C$1))</f>
        <v>325.64099999999996</v>
      </c>
      <c r="G28" s="216">
        <f>SUM(Q28-(Q28*Capa!$C$1))</f>
        <v>172.30099999999999</v>
      </c>
      <c r="H28" s="216">
        <f>SUM(R28-(R28*Capa!$C$1))</f>
        <v>172.30099999999999</v>
      </c>
      <c r="I28" s="193">
        <f>SUM(S28-(S28*Capa!$C$1))</f>
        <v>143.35</v>
      </c>
      <c r="K28" s="215" t="s">
        <v>339</v>
      </c>
      <c r="L28" s="339">
        <v>248.971</v>
      </c>
      <c r="M28" s="339">
        <v>268.13849999999996</v>
      </c>
      <c r="N28" s="339">
        <v>287.30599999999998</v>
      </c>
      <c r="O28" s="339">
        <v>306.47349999999994</v>
      </c>
      <c r="P28" s="339">
        <v>325.64099999999996</v>
      </c>
      <c r="Q28" s="338">
        <v>172.30099999999999</v>
      </c>
      <c r="R28" s="338">
        <v>172.30099999999999</v>
      </c>
      <c r="S28" s="193">
        <v>143.35</v>
      </c>
    </row>
    <row r="29" spans="1:19" s="49" customFormat="1" ht="12" customHeight="1" thickBot="1" x14ac:dyDescent="0.25">
      <c r="A29" s="27" t="s">
        <v>334</v>
      </c>
      <c r="B29" s="28">
        <f>SUM(L29-(L29*Capa!$C$1))</f>
        <v>263.27199999999999</v>
      </c>
      <c r="C29" s="28">
        <f>SUM(M29-(M29*Capa!$C$1))</f>
        <v>284.18200000000002</v>
      </c>
      <c r="D29" s="28">
        <f>SUM(N29-(N29*Capa!$C$1))</f>
        <v>305.09199999999998</v>
      </c>
      <c r="E29" s="28">
        <f>SUM(O29-(O29*Capa!$C$1))</f>
        <v>326.00200000000001</v>
      </c>
      <c r="F29" s="28">
        <f>SUM(P29-(P29*Capa!$C$1))</f>
        <v>346.91200000000003</v>
      </c>
      <c r="G29" s="28">
        <f>SUM(Q29-(Q29*Capa!$C$1))</f>
        <v>179.63200000000001</v>
      </c>
      <c r="H29" s="28">
        <f>SUM(R29-(R29*Capa!$C$1))</f>
        <v>179.63200000000001</v>
      </c>
      <c r="I29" s="170">
        <f>SUM(S29-(S29*Capa!$C$1))</f>
        <v>150.1</v>
      </c>
      <c r="J29" s="59"/>
      <c r="K29" s="158" t="s">
        <v>334</v>
      </c>
      <c r="L29" s="159">
        <v>263.27199999999999</v>
      </c>
      <c r="M29" s="159">
        <v>284.18200000000002</v>
      </c>
      <c r="N29" s="159">
        <v>305.09199999999998</v>
      </c>
      <c r="O29" s="159">
        <v>326.00200000000001</v>
      </c>
      <c r="P29" s="159">
        <v>346.91200000000003</v>
      </c>
      <c r="Q29" s="160">
        <v>179.63200000000001</v>
      </c>
      <c r="R29" s="160">
        <v>179.63200000000001</v>
      </c>
      <c r="S29" s="356">
        <v>150.1</v>
      </c>
    </row>
    <row r="30" spans="1:19" s="24" customFormat="1" ht="20.100000000000001" customHeight="1" x14ac:dyDescent="0.2">
      <c r="A30" s="643" t="s">
        <v>451</v>
      </c>
      <c r="B30" s="644"/>
      <c r="C30" s="644"/>
      <c r="D30" s="644"/>
      <c r="E30" s="644"/>
      <c r="F30" s="644"/>
      <c r="G30" s="644"/>
      <c r="H30" s="644"/>
      <c r="I30" s="645"/>
      <c r="J30" s="62"/>
    </row>
    <row r="31" spans="1:19" s="49" customFormat="1" ht="14.1" customHeight="1" x14ac:dyDescent="0.2">
      <c r="A31" s="57" t="s">
        <v>317</v>
      </c>
      <c r="B31" s="553" t="s">
        <v>819</v>
      </c>
      <c r="C31" s="553"/>
      <c r="D31" s="553"/>
      <c r="E31" s="553"/>
      <c r="F31" s="553"/>
      <c r="G31" s="553"/>
      <c r="H31" s="553"/>
      <c r="I31" s="58">
        <f>'Wave-Square-Retangular'!G26</f>
        <v>19.5</v>
      </c>
      <c r="J31" s="63"/>
      <c r="K31" s="64"/>
    </row>
    <row r="32" spans="1:19" s="49" customFormat="1" ht="14.1" customHeight="1" x14ac:dyDescent="0.2">
      <c r="A32" s="316" t="s">
        <v>321</v>
      </c>
      <c r="B32" s="552" t="s">
        <v>820</v>
      </c>
      <c r="C32" s="552"/>
      <c r="D32" s="552"/>
      <c r="E32" s="552"/>
      <c r="F32" s="552"/>
      <c r="G32" s="552"/>
      <c r="H32" s="552"/>
      <c r="I32" s="244">
        <f>'Wave-Square-Retangular'!G27</f>
        <v>22.47</v>
      </c>
      <c r="J32" s="63"/>
      <c r="K32" s="64"/>
    </row>
    <row r="33" spans="1:11" s="49" customFormat="1" ht="14.1" customHeight="1" x14ac:dyDescent="0.2">
      <c r="A33" s="57" t="s">
        <v>318</v>
      </c>
      <c r="B33" s="553" t="s">
        <v>821</v>
      </c>
      <c r="C33" s="553"/>
      <c r="D33" s="553"/>
      <c r="E33" s="553"/>
      <c r="F33" s="553"/>
      <c r="G33" s="553"/>
      <c r="H33" s="553"/>
      <c r="I33" s="58">
        <f>'Wave-Square-Retangular'!G28</f>
        <v>29.98</v>
      </c>
      <c r="J33" s="63"/>
      <c r="K33" s="64"/>
    </row>
    <row r="34" spans="1:11" s="49" customFormat="1" ht="14.1" customHeight="1" x14ac:dyDescent="0.2">
      <c r="A34" s="316" t="s">
        <v>631</v>
      </c>
      <c r="B34" s="552" t="s">
        <v>721</v>
      </c>
      <c r="C34" s="552"/>
      <c r="D34" s="552"/>
      <c r="E34" s="552"/>
      <c r="F34" s="552"/>
      <c r="G34" s="552"/>
      <c r="H34" s="552"/>
      <c r="I34" s="244">
        <f>'Wave-Square-Retangular'!G18</f>
        <v>9.66</v>
      </c>
      <c r="J34" s="63"/>
      <c r="K34" s="64"/>
    </row>
    <row r="35" spans="1:11" s="49" customFormat="1" ht="14.1" customHeight="1" x14ac:dyDescent="0.2">
      <c r="A35" s="57" t="s">
        <v>327</v>
      </c>
      <c r="B35" s="553" t="s">
        <v>499</v>
      </c>
      <c r="C35" s="553"/>
      <c r="D35" s="553"/>
      <c r="E35" s="553"/>
      <c r="F35" s="553"/>
      <c r="G35" s="553"/>
      <c r="H35" s="553"/>
      <c r="I35" s="58">
        <f>'Wave-Square-Retangular'!G19</f>
        <v>9.66</v>
      </c>
      <c r="J35" s="63"/>
      <c r="K35" s="64"/>
    </row>
    <row r="36" spans="1:11" s="49" customFormat="1" ht="14.1" customHeight="1" x14ac:dyDescent="0.2">
      <c r="A36" s="316" t="s">
        <v>632</v>
      </c>
      <c r="B36" s="552" t="s">
        <v>726</v>
      </c>
      <c r="C36" s="552"/>
      <c r="D36" s="552"/>
      <c r="E36" s="552"/>
      <c r="F36" s="552"/>
      <c r="G36" s="552"/>
      <c r="H36" s="552"/>
      <c r="I36" s="244">
        <f>'Wave-Square-Retangular'!G20</f>
        <v>14.7</v>
      </c>
      <c r="J36" s="63"/>
      <c r="K36" s="64"/>
    </row>
    <row r="37" spans="1:11" s="49" customFormat="1" ht="14.1" customHeight="1" x14ac:dyDescent="0.2">
      <c r="A37" s="57" t="s">
        <v>346</v>
      </c>
      <c r="B37" s="553" t="s">
        <v>500</v>
      </c>
      <c r="C37" s="553"/>
      <c r="D37" s="553"/>
      <c r="E37" s="553"/>
      <c r="F37" s="553"/>
      <c r="G37" s="553"/>
      <c r="H37" s="553"/>
      <c r="I37" s="58">
        <f>'Wave-Square-Retangular'!G21</f>
        <v>14.7</v>
      </c>
      <c r="J37" s="63"/>
      <c r="K37" s="64"/>
    </row>
    <row r="38" spans="1:11" s="49" customFormat="1" ht="14.1" customHeight="1" x14ac:dyDescent="0.2">
      <c r="A38" s="316" t="s">
        <v>641</v>
      </c>
      <c r="B38" s="552" t="s">
        <v>756</v>
      </c>
      <c r="C38" s="552"/>
      <c r="D38" s="552"/>
      <c r="E38" s="552"/>
      <c r="F38" s="552"/>
      <c r="G38" s="552"/>
      <c r="H38" s="552"/>
      <c r="I38" s="244">
        <f>'Wave-Square-Retangular'!G22</f>
        <v>4.74</v>
      </c>
      <c r="J38" s="63"/>
      <c r="K38" s="64"/>
    </row>
    <row r="39" spans="1:11" s="49" customFormat="1" ht="14.1" customHeight="1" x14ac:dyDescent="0.2">
      <c r="A39" s="57" t="s">
        <v>299</v>
      </c>
      <c r="B39" s="553" t="s">
        <v>757</v>
      </c>
      <c r="C39" s="553"/>
      <c r="D39" s="553"/>
      <c r="E39" s="553"/>
      <c r="F39" s="553"/>
      <c r="G39" s="553"/>
      <c r="H39" s="553"/>
      <c r="I39" s="58">
        <f>'Wave-Square-Retangular'!G23</f>
        <v>4.74</v>
      </c>
      <c r="J39" s="63"/>
      <c r="K39" s="64"/>
    </row>
    <row r="40" spans="1:11" s="49" customFormat="1" ht="14.1" customHeight="1" x14ac:dyDescent="0.2">
      <c r="A40" s="316" t="s">
        <v>640</v>
      </c>
      <c r="B40" s="552" t="s">
        <v>758</v>
      </c>
      <c r="C40" s="552"/>
      <c r="D40" s="552"/>
      <c r="E40" s="552"/>
      <c r="F40" s="552"/>
      <c r="G40" s="552"/>
      <c r="H40" s="552"/>
      <c r="I40" s="244">
        <f>'Wave-Square-Retangular'!G24</f>
        <v>7.59</v>
      </c>
      <c r="J40" s="63"/>
      <c r="K40" s="64"/>
    </row>
    <row r="41" spans="1:11" s="49" customFormat="1" ht="14.1" customHeight="1" x14ac:dyDescent="0.2">
      <c r="A41" s="57" t="s">
        <v>300</v>
      </c>
      <c r="B41" s="553" t="s">
        <v>759</v>
      </c>
      <c r="C41" s="553"/>
      <c r="D41" s="553"/>
      <c r="E41" s="553"/>
      <c r="F41" s="553"/>
      <c r="G41" s="553"/>
      <c r="H41" s="553"/>
      <c r="I41" s="58">
        <f>'Wave-Square-Retangular'!G25</f>
        <v>7.59</v>
      </c>
      <c r="J41" s="63"/>
      <c r="K41" s="64"/>
    </row>
    <row r="42" spans="1:11" s="49" customFormat="1" ht="14.1" customHeight="1" x14ac:dyDescent="0.2">
      <c r="A42" s="316" t="s">
        <v>514</v>
      </c>
      <c r="B42" s="552" t="s">
        <v>635</v>
      </c>
      <c r="C42" s="552"/>
      <c r="D42" s="552"/>
      <c r="E42" s="552"/>
      <c r="F42" s="552"/>
      <c r="G42" s="552"/>
      <c r="H42" s="552"/>
      <c r="I42" s="244">
        <f>'Wave-Square-Retangular'!G29</f>
        <v>11.5</v>
      </c>
      <c r="J42" s="63"/>
      <c r="K42" s="64"/>
    </row>
    <row r="43" spans="1:11" s="49" customFormat="1" ht="14.1" customHeight="1" x14ac:dyDescent="0.2">
      <c r="A43" s="57" t="s">
        <v>626</v>
      </c>
      <c r="B43" s="553" t="s">
        <v>627</v>
      </c>
      <c r="C43" s="553"/>
      <c r="D43" s="553"/>
      <c r="E43" s="553"/>
      <c r="F43" s="553"/>
      <c r="G43" s="553"/>
      <c r="H43" s="553"/>
      <c r="I43" s="58">
        <f>'Wave-Square-Retangular'!G30</f>
        <v>9.66</v>
      </c>
      <c r="J43" s="63"/>
      <c r="K43" s="64"/>
    </row>
    <row r="44" spans="1:11" s="49" customFormat="1" ht="14.1" customHeight="1" x14ac:dyDescent="0.2">
      <c r="A44" s="316" t="s">
        <v>283</v>
      </c>
      <c r="B44" s="552" t="s">
        <v>370</v>
      </c>
      <c r="C44" s="552"/>
      <c r="D44" s="552"/>
      <c r="E44" s="552"/>
      <c r="F44" s="552"/>
      <c r="G44" s="552"/>
      <c r="H44" s="552"/>
      <c r="I44" s="244">
        <f>'Wave-Square-Retangular'!G31</f>
        <v>29.36</v>
      </c>
      <c r="J44" s="63"/>
      <c r="K44" s="64"/>
    </row>
    <row r="45" spans="1:11" s="49" customFormat="1" ht="14.1" customHeight="1" x14ac:dyDescent="0.2">
      <c r="A45" s="57" t="s">
        <v>315</v>
      </c>
      <c r="B45" s="553" t="s">
        <v>371</v>
      </c>
      <c r="C45" s="553"/>
      <c r="D45" s="553"/>
      <c r="E45" s="553"/>
      <c r="F45" s="553"/>
      <c r="G45" s="553"/>
      <c r="H45" s="553"/>
      <c r="I45" s="58">
        <f>'Wave-Square-Retangular'!G32</f>
        <v>45.23</v>
      </c>
      <c r="J45" s="63"/>
      <c r="K45" s="64"/>
    </row>
    <row r="46" spans="1:11" s="49" customFormat="1" ht="28.35" customHeight="1" x14ac:dyDescent="0.2">
      <c r="A46" s="617" t="s">
        <v>728</v>
      </c>
      <c r="B46" s="618"/>
      <c r="C46" s="618"/>
      <c r="D46" s="618"/>
      <c r="E46" s="618"/>
      <c r="F46" s="618"/>
      <c r="G46" s="618"/>
      <c r="H46" s="618"/>
      <c r="I46" s="619"/>
    </row>
    <row r="47" spans="1:11" s="24" customFormat="1" ht="15" customHeight="1" x14ac:dyDescent="0.2">
      <c r="A47" s="617" t="s">
        <v>764</v>
      </c>
      <c r="B47" s="618"/>
      <c r="C47" s="618"/>
      <c r="D47" s="618"/>
      <c r="E47" s="618"/>
      <c r="F47" s="618"/>
      <c r="G47" s="618"/>
      <c r="H47" s="618"/>
      <c r="I47" s="619"/>
    </row>
    <row r="48" spans="1:11" s="49" customFormat="1" ht="15" customHeight="1" x14ac:dyDescent="0.2">
      <c r="A48" s="614" t="s">
        <v>738</v>
      </c>
      <c r="B48" s="615"/>
      <c r="C48" s="615"/>
      <c r="D48" s="615"/>
      <c r="E48" s="615"/>
      <c r="F48" s="615"/>
      <c r="G48" s="615"/>
      <c r="H48" s="615"/>
      <c r="I48" s="616"/>
    </row>
    <row r="49" spans="1:250" s="24" customFormat="1" ht="15" customHeight="1" x14ac:dyDescent="0.2">
      <c r="A49" s="617" t="s">
        <v>313</v>
      </c>
      <c r="B49" s="618"/>
      <c r="C49" s="618"/>
      <c r="D49" s="618"/>
      <c r="E49" s="618"/>
      <c r="F49" s="618"/>
      <c r="G49" s="618"/>
      <c r="H49" s="618"/>
      <c r="I49" s="619"/>
    </row>
    <row r="50" spans="1:250" s="24" customFormat="1" ht="15" customHeight="1" x14ac:dyDescent="0.2">
      <c r="A50" s="646"/>
      <c r="B50" s="647"/>
      <c r="C50" s="647"/>
      <c r="D50" s="647"/>
      <c r="E50" s="647"/>
      <c r="F50" s="647"/>
      <c r="G50" s="647"/>
      <c r="H50" s="647"/>
      <c r="I50" s="648"/>
    </row>
    <row r="51" spans="1:250" ht="12.75" x14ac:dyDescent="0.2">
      <c r="A51" s="646"/>
      <c r="B51" s="647"/>
      <c r="C51" s="647"/>
      <c r="D51" s="647"/>
      <c r="E51" s="647"/>
      <c r="F51" s="647"/>
      <c r="G51" s="647"/>
      <c r="H51" s="647"/>
      <c r="I51" s="648"/>
    </row>
    <row r="52" spans="1:250" ht="28.5" customHeight="1" x14ac:dyDescent="0.2">
      <c r="A52" s="646"/>
      <c r="B52" s="647"/>
      <c r="C52" s="647"/>
      <c r="D52" s="647"/>
      <c r="E52" s="647"/>
      <c r="F52" s="647"/>
      <c r="G52" s="647"/>
      <c r="H52" s="647"/>
      <c r="I52" s="648"/>
    </row>
    <row r="53" spans="1:250" ht="27" customHeight="1" x14ac:dyDescent="0.2">
      <c r="A53" s="646"/>
      <c r="B53" s="647"/>
      <c r="C53" s="647"/>
      <c r="D53" s="647"/>
      <c r="E53" s="647"/>
      <c r="F53" s="647"/>
      <c r="G53" s="647"/>
      <c r="H53" s="647"/>
      <c r="I53" s="648"/>
    </row>
    <row r="54" spans="1:250" ht="70.5" customHeight="1" thickBot="1" x14ac:dyDescent="0.25">
      <c r="A54" s="649"/>
      <c r="B54" s="650"/>
      <c r="C54" s="650"/>
      <c r="D54" s="650"/>
      <c r="E54" s="650"/>
      <c r="F54" s="650"/>
      <c r="G54" s="650"/>
      <c r="H54" s="650"/>
      <c r="I54" s="651"/>
    </row>
    <row r="61" spans="1:250" s="156" customFormat="1" ht="33.75" customHeight="1" x14ac:dyDescent="0.2">
      <c r="C61" s="4"/>
      <c r="D61" s="4"/>
      <c r="E61" s="4"/>
      <c r="F61" s="4"/>
      <c r="G61" s="4"/>
      <c r="H61" s="4"/>
      <c r="I61" s="15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</row>
    <row r="62" spans="1:250" s="156" customFormat="1" ht="33.75" customHeight="1" x14ac:dyDescent="0.2">
      <c r="C62" s="4"/>
      <c r="D62" s="4"/>
      <c r="E62" s="4"/>
      <c r="F62" s="4"/>
      <c r="G62" s="4"/>
      <c r="H62" s="4"/>
      <c r="I62" s="15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</row>
  </sheetData>
  <sheetProtection sheet="1" objects="1" scenarios="1"/>
  <mergeCells count="27">
    <mergeCell ref="A1:E1"/>
    <mergeCell ref="F1:I1"/>
    <mergeCell ref="A50:I54"/>
    <mergeCell ref="A30:I30"/>
    <mergeCell ref="A49:I49"/>
    <mergeCell ref="A48:I48"/>
    <mergeCell ref="A2:I2"/>
    <mergeCell ref="A3:I3"/>
    <mergeCell ref="A16:I16"/>
    <mergeCell ref="A17:I17"/>
    <mergeCell ref="A47:I47"/>
    <mergeCell ref="A46:I46"/>
    <mergeCell ref="B31:H31"/>
    <mergeCell ref="B32:H32"/>
    <mergeCell ref="B33:H33"/>
    <mergeCell ref="B34:H34"/>
    <mergeCell ref="B35:H35"/>
    <mergeCell ref="B36:H36"/>
    <mergeCell ref="B42:H42"/>
    <mergeCell ref="B43:H43"/>
    <mergeCell ref="B44:H44"/>
    <mergeCell ref="B45:H45"/>
    <mergeCell ref="B37:H37"/>
    <mergeCell ref="B38:H38"/>
    <mergeCell ref="B39:H39"/>
    <mergeCell ref="B40:H40"/>
    <mergeCell ref="B41:H41"/>
  </mergeCells>
  <printOptions horizontalCentered="1"/>
  <pageMargins left="0.23622047244094491" right="0.23622047244094491" top="0.39370078740157483" bottom="0.19685039370078741" header="0.19685039370078741" footer="0"/>
  <pageSetup scale="82" orientation="portrait" r:id="rId1"/>
  <headerFooter>
    <oddFooter>Página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76A2-8188-4D51-ADC6-EABA8D03B139}">
  <dimension ref="A1:IP55"/>
  <sheetViews>
    <sheetView showGridLines="0" showWhiteSpace="0" view="pageLayout" zoomScale="90" zoomScaleNormal="100" zoomScalePageLayoutView="90" workbookViewId="0">
      <selection activeCell="B34" sqref="B34:H34"/>
    </sheetView>
  </sheetViews>
  <sheetFormatPr defaultColWidth="3.7109375" defaultRowHeight="12.75" x14ac:dyDescent="0.2"/>
  <cols>
    <col min="1" max="2" width="13.28515625" style="228" customWidth="1"/>
    <col min="3" max="8" width="13.28515625" style="49" customWidth="1"/>
    <col min="9" max="9" width="13.28515625" style="64" customWidth="1"/>
    <col min="10" max="10" width="15" style="49" customWidth="1"/>
    <col min="11" max="19" width="13.7109375" style="49" hidden="1" customWidth="1"/>
    <col min="20" max="277" width="9.140625" style="49" customWidth="1"/>
    <col min="278" max="16384" width="3.7109375" style="49"/>
  </cols>
  <sheetData>
    <row r="1" spans="1:19" ht="102" customHeight="1" x14ac:dyDescent="0.2">
      <c r="A1" s="576"/>
      <c r="B1" s="577"/>
      <c r="C1" s="577"/>
      <c r="D1" s="577"/>
      <c r="E1" s="577"/>
      <c r="F1" s="577"/>
      <c r="G1" s="577"/>
      <c r="H1" s="577"/>
      <c r="I1" s="578"/>
    </row>
    <row r="2" spans="1:19" s="5" customFormat="1" ht="20.100000000000001" customHeight="1" x14ac:dyDescent="0.25">
      <c r="A2" s="622" t="s">
        <v>860</v>
      </c>
      <c r="B2" s="623"/>
      <c r="C2" s="623"/>
      <c r="D2" s="623"/>
      <c r="E2" s="623"/>
      <c r="F2" s="623"/>
      <c r="G2" s="623"/>
      <c r="H2" s="623"/>
      <c r="I2" s="624"/>
      <c r="J2" s="332"/>
    </row>
    <row r="3" spans="1:19" s="5" customFormat="1" ht="20.100000000000001" customHeight="1" x14ac:dyDescent="0.25">
      <c r="A3" s="625" t="s">
        <v>802</v>
      </c>
      <c r="B3" s="626"/>
      <c r="C3" s="626"/>
      <c r="D3" s="626"/>
      <c r="E3" s="626"/>
      <c r="F3" s="626"/>
      <c r="G3" s="626"/>
      <c r="H3" s="626"/>
      <c r="I3" s="627"/>
    </row>
    <row r="4" spans="1:19" ht="14.1" customHeight="1" x14ac:dyDescent="0.2">
      <c r="A4" s="212" t="s">
        <v>435</v>
      </c>
      <c r="B4" s="238" t="s">
        <v>340</v>
      </c>
      <c r="C4" s="238" t="s">
        <v>341</v>
      </c>
      <c r="D4" s="238" t="s">
        <v>342</v>
      </c>
      <c r="E4" s="238" t="s">
        <v>343</v>
      </c>
      <c r="F4" s="217" t="s">
        <v>344</v>
      </c>
      <c r="G4" s="217" t="s">
        <v>597</v>
      </c>
      <c r="H4" s="217" t="s">
        <v>727</v>
      </c>
      <c r="I4" s="334" t="s">
        <v>436</v>
      </c>
      <c r="K4" s="212" t="s">
        <v>435</v>
      </c>
      <c r="L4" s="335" t="s">
        <v>340</v>
      </c>
      <c r="M4" s="335" t="s">
        <v>341</v>
      </c>
      <c r="N4" s="335" t="s">
        <v>342</v>
      </c>
      <c r="O4" s="335" t="s">
        <v>343</v>
      </c>
      <c r="P4" s="336" t="s">
        <v>344</v>
      </c>
      <c r="Q4" s="336" t="s">
        <v>597</v>
      </c>
      <c r="R4" s="336" t="s">
        <v>727</v>
      </c>
      <c r="S4" s="337" t="s">
        <v>436</v>
      </c>
    </row>
    <row r="5" spans="1:19" ht="14.1" customHeight="1" x14ac:dyDescent="0.2">
      <c r="A5" s="27" t="s">
        <v>329</v>
      </c>
      <c r="B5" s="28">
        <f>SUM(L5-(L5*Capa!$C$1))</f>
        <v>88.137630560000005</v>
      </c>
      <c r="C5" s="28">
        <f>SUM(M5-(M5*Capa!$C$1))</f>
        <v>91.622630560000005</v>
      </c>
      <c r="D5" s="28">
        <f>SUM(N5-(N5*Capa!$C$1))</f>
        <v>95.107630560000004</v>
      </c>
      <c r="E5" s="28">
        <f>SUM(O5-(O5*Capa!$C$1))</f>
        <v>98.592630560000003</v>
      </c>
      <c r="F5" s="28">
        <f>SUM(P5-(P5*Capa!$C$1))</f>
        <v>102.07763056</v>
      </c>
      <c r="G5" s="28">
        <f>SUM(Q5-(Q5*Capa!$C$1))</f>
        <v>74.197630560000007</v>
      </c>
      <c r="H5" s="28">
        <f>SUM(R5-(R5*Capa!$C$1))</f>
        <v>74.197630560000007</v>
      </c>
      <c r="I5" s="170">
        <f>SUM(S5-(S5*Capa!$C$1))</f>
        <v>66.731628902400004</v>
      </c>
      <c r="K5" s="27" t="s">
        <v>329</v>
      </c>
      <c r="L5" s="60">
        <v>88.137630560000005</v>
      </c>
      <c r="M5" s="60">
        <v>91.622630560000005</v>
      </c>
      <c r="N5" s="60">
        <v>95.107630560000004</v>
      </c>
      <c r="O5" s="60">
        <v>98.592630560000003</v>
      </c>
      <c r="P5" s="60">
        <v>102.07763056</v>
      </c>
      <c r="Q5" s="60">
        <v>74.197630560000007</v>
      </c>
      <c r="R5" s="60">
        <v>74.197630560000007</v>
      </c>
      <c r="S5" s="170">
        <v>66.731628902400004</v>
      </c>
    </row>
    <row r="6" spans="1:19" ht="14.1" customHeight="1" x14ac:dyDescent="0.2">
      <c r="A6" s="215" t="s">
        <v>335</v>
      </c>
      <c r="B6" s="216">
        <f>SUM(L6-(L6*Capa!$C$1))</f>
        <v>121.03822416000003</v>
      </c>
      <c r="C6" s="216">
        <f>SUM(M6-(M6*Capa!$C$1))</f>
        <v>126.26572416000003</v>
      </c>
      <c r="D6" s="216">
        <f>SUM(N6-(N6*Capa!$C$1))</f>
        <v>131.49322416000004</v>
      </c>
      <c r="E6" s="216">
        <f>SUM(O6-(O6*Capa!$C$1))</f>
        <v>136.72072416000003</v>
      </c>
      <c r="F6" s="216">
        <f>SUM(P6-(P6*Capa!$C$1))</f>
        <v>141.94822416000002</v>
      </c>
      <c r="G6" s="216">
        <f>SUM(Q6-(Q6*Capa!$C$1))</f>
        <v>100.12822416000003</v>
      </c>
      <c r="H6" s="216">
        <f>SUM(R6-(R6*Capa!$C$1))</f>
        <v>100.12822416000003</v>
      </c>
      <c r="I6" s="193">
        <f>SUM(S6-(S6*Capa!$C$1))</f>
        <v>78.917070355200011</v>
      </c>
      <c r="K6" s="215" t="s">
        <v>335</v>
      </c>
      <c r="L6" s="338">
        <v>121.03822416000003</v>
      </c>
      <c r="M6" s="338">
        <v>126.26572416000003</v>
      </c>
      <c r="N6" s="338">
        <v>131.49322416000004</v>
      </c>
      <c r="O6" s="338">
        <v>136.72072416000003</v>
      </c>
      <c r="P6" s="338">
        <v>141.94822416000002</v>
      </c>
      <c r="Q6" s="338">
        <v>100.12822416000003</v>
      </c>
      <c r="R6" s="338">
        <v>100.12822416000003</v>
      </c>
      <c r="S6" s="193">
        <v>78.917070355200011</v>
      </c>
    </row>
    <row r="7" spans="1:19" ht="14.1" customHeight="1" x14ac:dyDescent="0.2">
      <c r="A7" s="27" t="s">
        <v>330</v>
      </c>
      <c r="B7" s="28">
        <f>SUM(L7-(L7*Capa!$C$1))</f>
        <v>141.50872624000002</v>
      </c>
      <c r="C7" s="28">
        <f>SUM(M7-(M7*Capa!$C$1))</f>
        <v>148.47872624000001</v>
      </c>
      <c r="D7" s="28">
        <f>SUM(N7-(N7*Capa!$C$1))</f>
        <v>155.44872624000001</v>
      </c>
      <c r="E7" s="28">
        <f>SUM(O7-(O7*Capa!$C$1))</f>
        <v>162.41872624000001</v>
      </c>
      <c r="F7" s="28">
        <f>SUM(P7-(P7*Capa!$C$1))</f>
        <v>169.38872624000001</v>
      </c>
      <c r="G7" s="28">
        <f>SUM(Q7-(Q7*Capa!$C$1))</f>
        <v>113.62872624000002</v>
      </c>
      <c r="H7" s="28">
        <f>SUM(R7-(R7*Capa!$C$1))</f>
        <v>113.62872624000002</v>
      </c>
      <c r="I7" s="170">
        <f>SUM(S7-(S7*Capa!$C$1))</f>
        <v>91.102511808000017</v>
      </c>
      <c r="K7" s="27" t="s">
        <v>330</v>
      </c>
      <c r="L7" s="60">
        <v>141.50872624000002</v>
      </c>
      <c r="M7" s="60">
        <v>148.47872624000001</v>
      </c>
      <c r="N7" s="60">
        <v>155.44872624000001</v>
      </c>
      <c r="O7" s="60">
        <v>162.41872624000001</v>
      </c>
      <c r="P7" s="60">
        <v>169.38872624000001</v>
      </c>
      <c r="Q7" s="60">
        <v>113.62872624000002</v>
      </c>
      <c r="R7" s="60">
        <v>113.62872624000002</v>
      </c>
      <c r="S7" s="170">
        <v>91.102511808000017</v>
      </c>
    </row>
    <row r="8" spans="1:19" ht="14.1" customHeight="1" x14ac:dyDescent="0.2">
      <c r="A8" s="215" t="s">
        <v>336</v>
      </c>
      <c r="B8" s="216">
        <f>SUM(L8-(L8*Capa!$C$1))</f>
        <v>170.98745216</v>
      </c>
      <c r="C8" s="216">
        <f>SUM(M8-(M8*Capa!$C$1))</f>
        <v>179.69995216000001</v>
      </c>
      <c r="D8" s="216">
        <f>SUM(N8-(N8*Capa!$C$1))</f>
        <v>188.41245216000002</v>
      </c>
      <c r="E8" s="216">
        <f>SUM(O8-(O8*Capa!$C$1))</f>
        <v>197.12495216000002</v>
      </c>
      <c r="F8" s="216">
        <f>SUM(P8-(P8*Capa!$C$1))</f>
        <v>205.83745216</v>
      </c>
      <c r="G8" s="216">
        <f>SUM(Q8-(Q8*Capa!$C$1))</f>
        <v>136.13745216000001</v>
      </c>
      <c r="H8" s="216">
        <f>SUM(R8-(R8*Capa!$C$1))</f>
        <v>136.13745216000001</v>
      </c>
      <c r="I8" s="193">
        <f>SUM(S8-(S8*Capa!$C$1))</f>
        <v>104.10480067680004</v>
      </c>
      <c r="K8" s="215" t="s">
        <v>336</v>
      </c>
      <c r="L8" s="338">
        <v>170.98745216</v>
      </c>
      <c r="M8" s="338">
        <v>179.69995216000001</v>
      </c>
      <c r="N8" s="338">
        <v>188.41245216000002</v>
      </c>
      <c r="O8" s="338">
        <v>197.12495216000002</v>
      </c>
      <c r="P8" s="338">
        <v>205.83745216</v>
      </c>
      <c r="Q8" s="338">
        <v>136.13745216000001</v>
      </c>
      <c r="R8" s="338">
        <v>136.13745216000001</v>
      </c>
      <c r="S8" s="193">
        <v>104.10480067680004</v>
      </c>
    </row>
    <row r="9" spans="1:19" ht="14.1" customHeight="1" x14ac:dyDescent="0.2">
      <c r="A9" s="27" t="s">
        <v>331</v>
      </c>
      <c r="B9" s="28">
        <f>SUM(L9-(L9*Capa!$C$1))</f>
        <v>190.54186368000001</v>
      </c>
      <c r="C9" s="28">
        <f>SUM(M9-(M9*Capa!$C$1))</f>
        <v>200.99686368000002</v>
      </c>
      <c r="D9" s="28">
        <f>SUM(N9-(N9*Capa!$C$1))</f>
        <v>211.45186368</v>
      </c>
      <c r="E9" s="28">
        <f>SUM(O9-(O9*Capa!$C$1))</f>
        <v>221.90686368000001</v>
      </c>
      <c r="F9" s="28">
        <f>SUM(P9-(P9*Capa!$C$1))</f>
        <v>232.36186368</v>
      </c>
      <c r="G9" s="28">
        <f>SUM(Q9-(Q9*Capa!$C$1))</f>
        <v>148.72186368000001</v>
      </c>
      <c r="H9" s="28">
        <f>SUM(R9-(R9*Capa!$C$1))</f>
        <v>148.72186368000001</v>
      </c>
      <c r="I9" s="170">
        <f>SUM(S9-(S9*Capa!$C$1))</f>
        <v>117.11669951520003</v>
      </c>
      <c r="K9" s="27" t="s">
        <v>331</v>
      </c>
      <c r="L9" s="60">
        <v>190.54186368000001</v>
      </c>
      <c r="M9" s="60">
        <v>200.99686368000002</v>
      </c>
      <c r="N9" s="60">
        <v>211.45186368</v>
      </c>
      <c r="O9" s="60">
        <v>221.90686368000001</v>
      </c>
      <c r="P9" s="60">
        <v>232.36186368</v>
      </c>
      <c r="Q9" s="60">
        <v>148.72186368000001</v>
      </c>
      <c r="R9" s="60">
        <v>148.72186368000001</v>
      </c>
      <c r="S9" s="170">
        <v>117.11669951520003</v>
      </c>
    </row>
    <row r="10" spans="1:19" ht="14.1" customHeight="1" x14ac:dyDescent="0.2">
      <c r="A10" s="215" t="s">
        <v>337</v>
      </c>
      <c r="B10" s="216">
        <f>SUM(L10-(L10*Capa!$C$1))</f>
        <v>215.73651904000005</v>
      </c>
      <c r="C10" s="216">
        <f>SUM(M10-(M10*Capa!$C$1))</f>
        <v>227.93401904000007</v>
      </c>
      <c r="D10" s="216">
        <f>SUM(N10-(N10*Capa!$C$1))</f>
        <v>240.13151904000006</v>
      </c>
      <c r="E10" s="216">
        <f>SUM(O10-(O10*Capa!$C$1))</f>
        <v>252.32901904000005</v>
      </c>
      <c r="F10" s="216">
        <f>SUM(P10-(P10*Capa!$C$1))</f>
        <v>264.52651904000004</v>
      </c>
      <c r="G10" s="216">
        <f>SUM(Q10-(Q10*Capa!$C$1))</f>
        <v>166.94651904000006</v>
      </c>
      <c r="H10" s="216">
        <f>SUM(R10-(R10*Capa!$C$1))</f>
        <v>166.94651904000006</v>
      </c>
      <c r="I10" s="193">
        <f>SUM(S10-(S10*Capa!$C$1))</f>
        <v>124.62208577280001</v>
      </c>
      <c r="K10" s="215" t="s">
        <v>337</v>
      </c>
      <c r="L10" s="338">
        <v>215.73651904000005</v>
      </c>
      <c r="M10" s="338">
        <v>227.93401904000007</v>
      </c>
      <c r="N10" s="338">
        <v>240.13151904000006</v>
      </c>
      <c r="O10" s="338">
        <v>252.32901904000005</v>
      </c>
      <c r="P10" s="338">
        <v>264.52651904000004</v>
      </c>
      <c r="Q10" s="338">
        <v>166.94651904000006</v>
      </c>
      <c r="R10" s="338">
        <v>166.94651904000006</v>
      </c>
      <c r="S10" s="193">
        <v>124.62208577280001</v>
      </c>
    </row>
    <row r="11" spans="1:19" ht="14.1" customHeight="1" x14ac:dyDescent="0.2">
      <c r="A11" s="27" t="s">
        <v>332</v>
      </c>
      <c r="B11" s="28">
        <f>SUM(L11-(L11*Capa!$C$1))</f>
        <v>237.74281999999999</v>
      </c>
      <c r="C11" s="28">
        <f>SUM(M11-(M11*Capa!$C$1))</f>
        <v>251.68281999999999</v>
      </c>
      <c r="D11" s="28">
        <f>SUM(N11-(N11*Capa!$C$1))</f>
        <v>265.62281999999999</v>
      </c>
      <c r="E11" s="28">
        <f>SUM(O11-(O11*Capa!$C$1))</f>
        <v>279.56281999999999</v>
      </c>
      <c r="F11" s="28">
        <f>SUM(P11-(P11*Capa!$C$1))</f>
        <v>293.50281999999999</v>
      </c>
      <c r="G11" s="28">
        <f>SUM(Q11-(Q11*Capa!$C$1))</f>
        <v>181.98282</v>
      </c>
      <c r="H11" s="28">
        <f>SUM(R11-(R11*Capa!$C$1))</f>
        <v>181.98282</v>
      </c>
      <c r="I11" s="170">
        <f>SUM(S11-(S11*Capa!$C$1))</f>
        <v>131.77190315520002</v>
      </c>
      <c r="K11" s="27" t="s">
        <v>332</v>
      </c>
      <c r="L11" s="60">
        <v>237.74281999999999</v>
      </c>
      <c r="M11" s="60">
        <v>251.68281999999999</v>
      </c>
      <c r="N11" s="60">
        <v>265.62281999999999</v>
      </c>
      <c r="O11" s="60">
        <v>279.56281999999999</v>
      </c>
      <c r="P11" s="60">
        <v>293.50281999999999</v>
      </c>
      <c r="Q11" s="60">
        <v>181.98282</v>
      </c>
      <c r="R11" s="60">
        <v>181.98282</v>
      </c>
      <c r="S11" s="170">
        <v>131.77190315520002</v>
      </c>
    </row>
    <row r="12" spans="1:19" ht="14.1" customHeight="1" x14ac:dyDescent="0.2">
      <c r="A12" s="215" t="s">
        <v>338</v>
      </c>
      <c r="B12" s="216">
        <f>SUM(L12-(L12*Capa!$C$1))</f>
        <v>262.87460640000006</v>
      </c>
      <c r="C12" s="216">
        <f>SUM(M12-(M12*Capa!$C$1))</f>
        <v>278.55710640000007</v>
      </c>
      <c r="D12" s="216">
        <f>SUM(N12-(N12*Capa!$C$1))</f>
        <v>294.23960640000007</v>
      </c>
      <c r="E12" s="216">
        <f>SUM(O12-(O12*Capa!$C$1))</f>
        <v>309.92210640000002</v>
      </c>
      <c r="F12" s="216">
        <f>SUM(P12-(P12*Capa!$C$1))</f>
        <v>325.60460640000002</v>
      </c>
      <c r="G12" s="216">
        <f>SUM(Q12-(Q12*Capa!$C$1))</f>
        <v>200.14460640000004</v>
      </c>
      <c r="H12" s="216">
        <f>SUM(R12-(R12*Capa!$C$1))</f>
        <v>200.14460640000004</v>
      </c>
      <c r="I12" s="193">
        <f>SUM(S12-(S12*Capa!$C$1))</f>
        <v>147.705232752</v>
      </c>
      <c r="K12" s="215" t="s">
        <v>338</v>
      </c>
      <c r="L12" s="338">
        <v>262.87460640000006</v>
      </c>
      <c r="M12" s="338">
        <v>278.55710640000007</v>
      </c>
      <c r="N12" s="338">
        <v>294.23960640000007</v>
      </c>
      <c r="O12" s="338">
        <v>309.92210640000002</v>
      </c>
      <c r="P12" s="338">
        <v>325.60460640000002</v>
      </c>
      <c r="Q12" s="338">
        <v>200.14460640000004</v>
      </c>
      <c r="R12" s="338">
        <v>200.14460640000004</v>
      </c>
      <c r="S12" s="193">
        <v>147.705232752</v>
      </c>
    </row>
    <row r="13" spans="1:19" ht="14.1" customHeight="1" x14ac:dyDescent="0.2">
      <c r="A13" s="27" t="s">
        <v>333</v>
      </c>
      <c r="B13" s="28">
        <f>SUM(L13-(L13*Capa!$C$1))</f>
        <v>285.09645807999999</v>
      </c>
      <c r="C13" s="28">
        <f>SUM(M13-(M13*Capa!$C$1))</f>
        <v>302.52145808</v>
      </c>
      <c r="D13" s="28">
        <f>SUM(N13-(N13*Capa!$C$1))</f>
        <v>319.94645808000001</v>
      </c>
      <c r="E13" s="28">
        <f>SUM(O13-(O13*Capa!$C$1))</f>
        <v>337.37145808000002</v>
      </c>
      <c r="F13" s="28">
        <f>SUM(P13-(P13*Capa!$C$1))</f>
        <v>354.79645807999998</v>
      </c>
      <c r="G13" s="28">
        <f>SUM(Q13-(Q13*Capa!$C$1))</f>
        <v>215.39645808</v>
      </c>
      <c r="H13" s="28">
        <f>SUM(R13-(R13*Capa!$C$1))</f>
        <v>215.39645808</v>
      </c>
      <c r="I13" s="170">
        <f>SUM(S13-(S13*Capa!$C$1))</f>
        <v>163.28299347360004</v>
      </c>
      <c r="K13" s="27" t="s">
        <v>333</v>
      </c>
      <c r="L13" s="60">
        <v>285.09645807999999</v>
      </c>
      <c r="M13" s="60">
        <v>302.52145808</v>
      </c>
      <c r="N13" s="60">
        <v>319.94645808000001</v>
      </c>
      <c r="O13" s="60">
        <v>337.37145808000002</v>
      </c>
      <c r="P13" s="60">
        <v>354.79645807999998</v>
      </c>
      <c r="Q13" s="60">
        <v>215.39645808</v>
      </c>
      <c r="R13" s="60">
        <v>215.39645808</v>
      </c>
      <c r="S13" s="170">
        <v>163.28299347360004</v>
      </c>
    </row>
    <row r="14" spans="1:19" ht="14.1" customHeight="1" x14ac:dyDescent="0.2">
      <c r="A14" s="215" t="s">
        <v>339</v>
      </c>
      <c r="B14" s="216">
        <f>SUM(L14-(L14*Capa!$C$1))</f>
        <v>312.40171423999999</v>
      </c>
      <c r="C14" s="216">
        <f>SUM(M14-(M14*Capa!$C$1))</f>
        <v>331.56921424000001</v>
      </c>
      <c r="D14" s="216">
        <f>SUM(N14-(N14*Capa!$C$1))</f>
        <v>350.73671423999997</v>
      </c>
      <c r="E14" s="216">
        <f>SUM(O14-(O14*Capa!$C$1))</f>
        <v>369.90421423999999</v>
      </c>
      <c r="F14" s="216">
        <f>SUM(P14-(P14*Capa!$C$1))</f>
        <v>389.07171424000001</v>
      </c>
      <c r="G14" s="216">
        <f>SUM(Q14-(Q14*Capa!$C$1))</f>
        <v>235.73171424</v>
      </c>
      <c r="H14" s="216">
        <f>SUM(R14-(R14*Capa!$C$1))</f>
        <v>235.73171424</v>
      </c>
      <c r="I14" s="193">
        <f>SUM(S14-(S14*Capa!$C$1))</f>
        <v>174.132649152</v>
      </c>
      <c r="K14" s="215" t="s">
        <v>339</v>
      </c>
      <c r="L14" s="338">
        <v>312.40171423999999</v>
      </c>
      <c r="M14" s="338">
        <v>331.56921424000001</v>
      </c>
      <c r="N14" s="338">
        <v>350.73671423999997</v>
      </c>
      <c r="O14" s="338">
        <v>369.90421423999999</v>
      </c>
      <c r="P14" s="338">
        <v>389.07171424000001</v>
      </c>
      <c r="Q14" s="338">
        <v>235.73171424</v>
      </c>
      <c r="R14" s="338">
        <v>235.73171424</v>
      </c>
      <c r="S14" s="193">
        <v>174.132649152</v>
      </c>
    </row>
    <row r="15" spans="1:19" ht="14.1" customHeight="1" x14ac:dyDescent="0.2">
      <c r="A15" s="27" t="s">
        <v>334</v>
      </c>
      <c r="B15" s="28">
        <f>SUM(L15-(L15*Capa!$C$1))</f>
        <v>334.8660604800001</v>
      </c>
      <c r="C15" s="28">
        <f>SUM(M15-(M15*Capa!$C$1))</f>
        <v>355.77606048000013</v>
      </c>
      <c r="D15" s="28">
        <f>SUM(N15-(N15*Capa!$C$1))</f>
        <v>376.68606048000009</v>
      </c>
      <c r="E15" s="28">
        <f>SUM(O15-(O15*Capa!$C$1))</f>
        <v>397.59606048000012</v>
      </c>
      <c r="F15" s="28">
        <f>SUM(P15-(P15*Capa!$C$1))</f>
        <v>418.50606048000009</v>
      </c>
      <c r="G15" s="28">
        <f>SUM(Q15-(Q15*Capa!$C$1))</f>
        <v>251.22606048000011</v>
      </c>
      <c r="H15" s="28">
        <f>SUM(R15-(R15*Capa!$C$1))</f>
        <v>251.22606048000011</v>
      </c>
      <c r="I15" s="170">
        <f>SUM(S15-(S15*Capa!$C$1))</f>
        <v>184.98230483040004</v>
      </c>
      <c r="K15" s="27" t="s">
        <v>334</v>
      </c>
      <c r="L15" s="60">
        <v>334.8660604800001</v>
      </c>
      <c r="M15" s="60">
        <v>355.77606048000013</v>
      </c>
      <c r="N15" s="60">
        <v>376.68606048000009</v>
      </c>
      <c r="O15" s="60">
        <v>397.59606048000012</v>
      </c>
      <c r="P15" s="60">
        <v>418.50606048000009</v>
      </c>
      <c r="Q15" s="60">
        <v>251.22606048000011</v>
      </c>
      <c r="R15" s="60">
        <v>251.22606048000011</v>
      </c>
      <c r="S15" s="170">
        <v>184.98230483040004</v>
      </c>
    </row>
    <row r="16" spans="1:19" s="5" customFormat="1" ht="20.100000000000001" customHeight="1" x14ac:dyDescent="0.25">
      <c r="A16" s="622" t="s">
        <v>861</v>
      </c>
      <c r="B16" s="623"/>
      <c r="C16" s="623"/>
      <c r="D16" s="623"/>
      <c r="E16" s="623"/>
      <c r="F16" s="623"/>
      <c r="G16" s="623"/>
      <c r="H16" s="623"/>
      <c r="I16" s="624"/>
      <c r="J16" s="332"/>
      <c r="K16" s="331"/>
      <c r="L16" s="331"/>
      <c r="M16" s="331"/>
      <c r="N16" s="331"/>
      <c r="O16" s="331"/>
      <c r="P16" s="331"/>
      <c r="Q16" s="331"/>
      <c r="R16" s="331"/>
      <c r="S16" s="331"/>
    </row>
    <row r="17" spans="1:19" s="5" customFormat="1" ht="20.100000000000001" customHeight="1" x14ac:dyDescent="0.25">
      <c r="A17" s="625" t="s">
        <v>802</v>
      </c>
      <c r="B17" s="626"/>
      <c r="C17" s="626"/>
      <c r="D17" s="626"/>
      <c r="E17" s="626"/>
      <c r="F17" s="626"/>
      <c r="G17" s="626"/>
      <c r="H17" s="626"/>
      <c r="I17" s="627"/>
      <c r="K17" s="331"/>
      <c r="L17" s="331"/>
      <c r="M17" s="331"/>
      <c r="N17" s="331"/>
      <c r="O17" s="331"/>
      <c r="P17" s="331"/>
      <c r="Q17" s="331"/>
      <c r="R17" s="331"/>
      <c r="S17" s="331"/>
    </row>
    <row r="18" spans="1:19" ht="14.1" customHeight="1" x14ac:dyDescent="0.2">
      <c r="A18" s="212" t="s">
        <v>435</v>
      </c>
      <c r="B18" s="238" t="s">
        <v>340</v>
      </c>
      <c r="C18" s="238" t="s">
        <v>341</v>
      </c>
      <c r="D18" s="238" t="s">
        <v>342</v>
      </c>
      <c r="E18" s="238" t="s">
        <v>343</v>
      </c>
      <c r="F18" s="217" t="s">
        <v>344</v>
      </c>
      <c r="G18" s="217" t="s">
        <v>597</v>
      </c>
      <c r="H18" s="217" t="s">
        <v>727</v>
      </c>
      <c r="I18" s="334" t="s">
        <v>436</v>
      </c>
      <c r="K18" s="212" t="s">
        <v>435</v>
      </c>
      <c r="L18" s="335" t="s">
        <v>340</v>
      </c>
      <c r="M18" s="335" t="s">
        <v>341</v>
      </c>
      <c r="N18" s="335" t="s">
        <v>342</v>
      </c>
      <c r="O18" s="335" t="s">
        <v>343</v>
      </c>
      <c r="P18" s="336" t="s">
        <v>344</v>
      </c>
      <c r="Q18" s="336" t="s">
        <v>597</v>
      </c>
      <c r="R18" s="336" t="s">
        <v>727</v>
      </c>
      <c r="S18" s="337" t="s">
        <v>436</v>
      </c>
    </row>
    <row r="19" spans="1:19" ht="14.1" customHeight="1" x14ac:dyDescent="0.2">
      <c r="A19" s="27" t="s">
        <v>329</v>
      </c>
      <c r="B19" s="28">
        <f>SUM(L19-(L19*Capa!$C$1))</f>
        <v>67.597443200000001</v>
      </c>
      <c r="C19" s="28">
        <f>SUM(M19-(M19*Capa!$C$1))</f>
        <v>71.0824432</v>
      </c>
      <c r="D19" s="28">
        <f>SUM(N19-(N19*Capa!$C$1))</f>
        <v>74.5674432</v>
      </c>
      <c r="E19" s="28">
        <f>SUM(O19-(O19*Capa!$C$1))</f>
        <v>78.052443199999999</v>
      </c>
      <c r="F19" s="28">
        <f>SUM(P19-(P19*Capa!$C$1))</f>
        <v>81.537443199999998</v>
      </c>
      <c r="G19" s="28">
        <f>SUM(Q19-(Q19*Capa!$C$1))</f>
        <v>53.657443200000003</v>
      </c>
      <c r="H19" s="28">
        <f>SUM(R19-(R19*Capa!$C$1))</f>
        <v>53.657443200000003</v>
      </c>
      <c r="I19" s="170">
        <f>SUM(S19-(S19*Capa!$C$1))</f>
        <v>42.322306118400007</v>
      </c>
      <c r="K19" s="27" t="s">
        <v>329</v>
      </c>
      <c r="L19" s="61">
        <v>67.597443200000001</v>
      </c>
      <c r="M19" s="61">
        <v>71.0824432</v>
      </c>
      <c r="N19" s="61">
        <v>74.5674432</v>
      </c>
      <c r="O19" s="61">
        <v>78.052443199999999</v>
      </c>
      <c r="P19" s="61">
        <v>81.537443199999998</v>
      </c>
      <c r="Q19" s="60">
        <v>53.657443200000003</v>
      </c>
      <c r="R19" s="60">
        <v>53.657443200000003</v>
      </c>
      <c r="S19" s="170">
        <v>42.322306118400007</v>
      </c>
    </row>
    <row r="20" spans="1:19" ht="14.1" customHeight="1" x14ac:dyDescent="0.2">
      <c r="A20" s="215" t="s">
        <v>335</v>
      </c>
      <c r="B20" s="216">
        <f>SUM(L20-(L20*Capa!$C$1))</f>
        <v>87.591937440000024</v>
      </c>
      <c r="C20" s="216">
        <f>SUM(M20-(M20*Capa!$C$1))</f>
        <v>92.81943744000003</v>
      </c>
      <c r="D20" s="216">
        <f>SUM(N20-(N20*Capa!$C$1))</f>
        <v>98.046937440000022</v>
      </c>
      <c r="E20" s="216">
        <f>SUM(O20-(O20*Capa!$C$1))</f>
        <v>103.27443744000003</v>
      </c>
      <c r="F20" s="216">
        <f>SUM(P20-(P20*Capa!$C$1))</f>
        <v>108.50193744000003</v>
      </c>
      <c r="G20" s="216">
        <f>SUM(Q20-(Q20*Capa!$C$1))</f>
        <v>66.681937440000027</v>
      </c>
      <c r="H20" s="216">
        <f>SUM(R20-(R20*Capa!$C$1))</f>
        <v>66.681937440000027</v>
      </c>
      <c r="I20" s="193">
        <f>SUM(S20-(S20*Capa!$C$1))</f>
        <v>52.826002891200005</v>
      </c>
      <c r="K20" s="215" t="s">
        <v>335</v>
      </c>
      <c r="L20" s="339">
        <v>87.591937440000024</v>
      </c>
      <c r="M20" s="339">
        <v>92.81943744000003</v>
      </c>
      <c r="N20" s="339">
        <v>98.046937440000022</v>
      </c>
      <c r="O20" s="339">
        <v>103.27443744000003</v>
      </c>
      <c r="P20" s="339">
        <v>108.50193744000003</v>
      </c>
      <c r="Q20" s="338">
        <v>66.681937440000027</v>
      </c>
      <c r="R20" s="338">
        <v>66.681937440000027</v>
      </c>
      <c r="S20" s="193">
        <v>52.826002891200005</v>
      </c>
    </row>
    <row r="21" spans="1:19" ht="14.1" customHeight="1" x14ac:dyDescent="0.2">
      <c r="A21" s="27" t="s">
        <v>330</v>
      </c>
      <c r="B21" s="28">
        <f>SUM(L21-(L21*Capa!$C$1))</f>
        <v>107.37088095999999</v>
      </c>
      <c r="C21" s="28">
        <f>SUM(M21-(M21*Capa!$C$1))</f>
        <v>114.34088095999999</v>
      </c>
      <c r="D21" s="28">
        <f>SUM(N21-(N21*Capa!$C$1))</f>
        <v>121.31088095999999</v>
      </c>
      <c r="E21" s="28">
        <f>SUM(O21-(O21*Capa!$C$1))</f>
        <v>128.28088095999999</v>
      </c>
      <c r="F21" s="28">
        <f>SUM(P21-(P21*Capa!$C$1))</f>
        <v>135.25088095999999</v>
      </c>
      <c r="G21" s="28">
        <f>SUM(Q21-(Q21*Capa!$C$1))</f>
        <v>79.490880959999998</v>
      </c>
      <c r="H21" s="28">
        <f>SUM(R21-(R21*Capa!$C$1))</f>
        <v>79.490880959999998</v>
      </c>
      <c r="I21" s="170">
        <f>SUM(S21-(S21*Capa!$C$1))</f>
        <v>61.484585500799994</v>
      </c>
      <c r="K21" s="27" t="s">
        <v>330</v>
      </c>
      <c r="L21" s="61">
        <v>107.37088095999999</v>
      </c>
      <c r="M21" s="61">
        <v>114.34088095999999</v>
      </c>
      <c r="N21" s="61">
        <v>121.31088095999999</v>
      </c>
      <c r="O21" s="61">
        <v>128.28088095999999</v>
      </c>
      <c r="P21" s="61">
        <v>135.25088095999999</v>
      </c>
      <c r="Q21" s="60">
        <v>79.490880959999998</v>
      </c>
      <c r="R21" s="60">
        <v>79.490880959999998</v>
      </c>
      <c r="S21" s="170">
        <v>61.484585500799994</v>
      </c>
    </row>
    <row r="22" spans="1:19" ht="14.1" customHeight="1" x14ac:dyDescent="0.2">
      <c r="A22" s="215" t="s">
        <v>336</v>
      </c>
      <c r="B22" s="216">
        <f>SUM(L22-(L22*Capa!$C$1))</f>
        <v>132.07156592000001</v>
      </c>
      <c r="C22" s="216">
        <f>SUM(M22-(M22*Capa!$C$1))</f>
        <v>140.78406592000002</v>
      </c>
      <c r="D22" s="216">
        <f>SUM(N22-(N22*Capa!$C$1))</f>
        <v>149.49656592000002</v>
      </c>
      <c r="E22" s="216">
        <f>SUM(O22-(O22*Capa!$C$1))</f>
        <v>158.20906592</v>
      </c>
      <c r="F22" s="216">
        <f>SUM(P22-(P22*Capa!$C$1))</f>
        <v>166.92156592000003</v>
      </c>
      <c r="G22" s="216">
        <f>SUM(Q22-(Q22*Capa!$C$1))</f>
        <v>97.221565920000018</v>
      </c>
      <c r="H22" s="216">
        <f>SUM(R22-(R22*Capa!$C$1))</f>
        <v>97.221565920000018</v>
      </c>
      <c r="I22" s="193">
        <f>SUM(S22-(S22*Capa!$C$1))</f>
        <v>74.592584035200019</v>
      </c>
      <c r="K22" s="215" t="s">
        <v>336</v>
      </c>
      <c r="L22" s="339">
        <v>132.07156592000001</v>
      </c>
      <c r="M22" s="339">
        <v>140.78406592000002</v>
      </c>
      <c r="N22" s="339">
        <v>149.49656592000002</v>
      </c>
      <c r="O22" s="339">
        <v>158.20906592</v>
      </c>
      <c r="P22" s="339">
        <v>166.92156592000003</v>
      </c>
      <c r="Q22" s="338">
        <v>97.221565920000018</v>
      </c>
      <c r="R22" s="338">
        <v>97.221565920000018</v>
      </c>
      <c r="S22" s="193">
        <v>74.592584035200019</v>
      </c>
    </row>
    <row r="23" spans="1:19" ht="14.1" customHeight="1" x14ac:dyDescent="0.2">
      <c r="A23" s="27" t="s">
        <v>331</v>
      </c>
      <c r="B23" s="28">
        <f>SUM(L23-(L23*Capa!$C$1))</f>
        <v>156.61956911999999</v>
      </c>
      <c r="C23" s="28">
        <f>SUM(M23-(M23*Capa!$C$1))</f>
        <v>167.07456912000001</v>
      </c>
      <c r="D23" s="28">
        <f>SUM(N23-(N23*Capa!$C$1))</f>
        <v>177.52956911999999</v>
      </c>
      <c r="E23" s="28">
        <f>SUM(O23-(O23*Capa!$C$1))</f>
        <v>187.98456912</v>
      </c>
      <c r="F23" s="28">
        <f>SUM(P23-(P23*Capa!$C$1))</f>
        <v>198.43956911999999</v>
      </c>
      <c r="G23" s="28">
        <f>SUM(Q23-(Q23*Capa!$C$1))</f>
        <v>114.79956912</v>
      </c>
      <c r="H23" s="28">
        <f>SUM(R23-(R23*Capa!$C$1))</f>
        <v>114.79956912</v>
      </c>
      <c r="I23" s="170">
        <f>SUM(S23-(S23*Capa!$C$1))</f>
        <v>87.191254180800016</v>
      </c>
      <c r="K23" s="27" t="s">
        <v>331</v>
      </c>
      <c r="L23" s="61">
        <v>156.61956911999999</v>
      </c>
      <c r="M23" s="61">
        <v>167.07456912000001</v>
      </c>
      <c r="N23" s="61">
        <v>177.52956911999999</v>
      </c>
      <c r="O23" s="61">
        <v>187.98456912</v>
      </c>
      <c r="P23" s="61">
        <v>198.43956911999999</v>
      </c>
      <c r="Q23" s="60">
        <v>114.79956912</v>
      </c>
      <c r="R23" s="60">
        <v>114.79956912</v>
      </c>
      <c r="S23" s="170">
        <v>87.191254180800016</v>
      </c>
    </row>
    <row r="24" spans="1:19" ht="14.1" customHeight="1" x14ac:dyDescent="0.2">
      <c r="A24" s="215" t="s">
        <v>337</v>
      </c>
      <c r="B24" s="216">
        <f>SUM(L24-(L24*Capa!$C$1))</f>
        <v>175.61714128</v>
      </c>
      <c r="C24" s="216">
        <f>SUM(M24-(M24*Capa!$C$1))</f>
        <v>187.81464127999999</v>
      </c>
      <c r="D24" s="216">
        <f>SUM(N24-(N24*Capa!$C$1))</f>
        <v>200.01214128000001</v>
      </c>
      <c r="E24" s="216">
        <f>SUM(O24-(O24*Capa!$C$1))</f>
        <v>212.20964128</v>
      </c>
      <c r="F24" s="216">
        <f>SUM(P24-(P24*Capa!$C$1))</f>
        <v>224.40714128000002</v>
      </c>
      <c r="G24" s="216">
        <f>SUM(Q24-(Q24*Capa!$C$1))</f>
        <v>126.82714128000001</v>
      </c>
      <c r="H24" s="216">
        <f>SUM(R24-(R24*Capa!$C$1))</f>
        <v>126.82714128000001</v>
      </c>
      <c r="I24" s="193">
        <f>SUM(S24-(S24*Capa!$C$1))</f>
        <v>98.579068156800005</v>
      </c>
      <c r="K24" s="215" t="s">
        <v>337</v>
      </c>
      <c r="L24" s="339">
        <v>175.61714128</v>
      </c>
      <c r="M24" s="339">
        <v>187.81464127999999</v>
      </c>
      <c r="N24" s="339">
        <v>200.01214128000001</v>
      </c>
      <c r="O24" s="339">
        <v>212.20964128</v>
      </c>
      <c r="P24" s="339">
        <v>224.40714128000002</v>
      </c>
      <c r="Q24" s="338">
        <v>126.82714128000001</v>
      </c>
      <c r="R24" s="338">
        <v>126.82714128000001</v>
      </c>
      <c r="S24" s="193">
        <v>98.579068156800005</v>
      </c>
    </row>
    <row r="25" spans="1:19" ht="14.1" customHeight="1" x14ac:dyDescent="0.2">
      <c r="A25" s="27" t="s">
        <v>332</v>
      </c>
      <c r="B25" s="28">
        <f>SUM(L25-(L25*Capa!$C$1))</f>
        <v>188.42661151999999</v>
      </c>
      <c r="C25" s="28">
        <f>SUM(M25-(M25*Capa!$C$1))</f>
        <v>202.36661151999999</v>
      </c>
      <c r="D25" s="28">
        <f>SUM(N25-(N25*Capa!$C$1))</f>
        <v>216.30661151999999</v>
      </c>
      <c r="E25" s="28">
        <f>SUM(O25-(O25*Capa!$C$1))</f>
        <v>230.24661151999999</v>
      </c>
      <c r="F25" s="28">
        <f>SUM(P25-(P25*Capa!$C$1))</f>
        <v>244.18661151999999</v>
      </c>
      <c r="G25" s="28">
        <f>SUM(Q25-(Q25*Capa!$C$1))</f>
        <v>132.66661152</v>
      </c>
      <c r="H25" s="28">
        <f>SUM(R25-(R25*Capa!$C$1))</f>
        <v>132.66661152</v>
      </c>
      <c r="I25" s="170">
        <f>SUM(S25-(S25*Capa!$C$1))</f>
        <v>107.199210888</v>
      </c>
      <c r="K25" s="27" t="s">
        <v>332</v>
      </c>
      <c r="L25" s="61">
        <v>188.42661151999999</v>
      </c>
      <c r="M25" s="61">
        <v>202.36661151999999</v>
      </c>
      <c r="N25" s="61">
        <v>216.30661151999999</v>
      </c>
      <c r="O25" s="61">
        <v>230.24661151999999</v>
      </c>
      <c r="P25" s="61">
        <v>244.18661151999999</v>
      </c>
      <c r="Q25" s="60">
        <v>132.66661152</v>
      </c>
      <c r="R25" s="60">
        <v>132.66661152</v>
      </c>
      <c r="S25" s="170">
        <v>107.199210888</v>
      </c>
    </row>
    <row r="26" spans="1:19" ht="14.1" customHeight="1" x14ac:dyDescent="0.2">
      <c r="A26" s="215" t="s">
        <v>338</v>
      </c>
      <c r="B26" s="216">
        <f>SUM(L26-(L26*Capa!$C$1))</f>
        <v>213.22609056000005</v>
      </c>
      <c r="C26" s="216">
        <f>SUM(M26-(M26*Capa!$C$1))</f>
        <v>228.90859056000005</v>
      </c>
      <c r="D26" s="216">
        <f>SUM(N26-(N26*Capa!$C$1))</f>
        <v>244.59109056000005</v>
      </c>
      <c r="E26" s="216">
        <f>SUM(O26-(O26*Capa!$C$1))</f>
        <v>260.27359056000006</v>
      </c>
      <c r="F26" s="216">
        <f>SUM(P26-(P26*Capa!$C$1))</f>
        <v>275.95609056000006</v>
      </c>
      <c r="G26" s="216">
        <f>SUM(Q26-(Q26*Capa!$C$1))</f>
        <v>150.49609056000006</v>
      </c>
      <c r="H26" s="216">
        <f>SUM(R26-(R26*Capa!$C$1))</f>
        <v>150.49609056000006</v>
      </c>
      <c r="I26" s="193">
        <f>SUM(S26-(S26*Capa!$C$1))</f>
        <v>114.81991678080001</v>
      </c>
      <c r="K26" s="215" t="s">
        <v>338</v>
      </c>
      <c r="L26" s="339">
        <v>213.22609056000005</v>
      </c>
      <c r="M26" s="339">
        <v>228.90859056000005</v>
      </c>
      <c r="N26" s="339">
        <v>244.59109056000005</v>
      </c>
      <c r="O26" s="339">
        <v>260.27359056000006</v>
      </c>
      <c r="P26" s="339">
        <v>275.95609056000006</v>
      </c>
      <c r="Q26" s="338">
        <v>150.49609056000006</v>
      </c>
      <c r="R26" s="338">
        <v>150.49609056000006</v>
      </c>
      <c r="S26" s="193">
        <v>114.81991678080001</v>
      </c>
    </row>
    <row r="27" spans="1:19" ht="14.1" customHeight="1" x14ac:dyDescent="0.2">
      <c r="A27" s="27" t="s">
        <v>333</v>
      </c>
      <c r="B27" s="28">
        <f>SUM(L27-(L27*Capa!$C$1))</f>
        <v>231.09202144000005</v>
      </c>
      <c r="C27" s="28">
        <f>SUM(M27-(M27*Capa!$C$1))</f>
        <v>248.51702144000004</v>
      </c>
      <c r="D27" s="28">
        <f>SUM(N27-(N27*Capa!$C$1))</f>
        <v>265.94202144000002</v>
      </c>
      <c r="E27" s="28">
        <f>SUM(O27-(O27*Capa!$C$1))</f>
        <v>283.36702144000003</v>
      </c>
      <c r="F27" s="28">
        <f>SUM(P27-(P27*Capa!$C$1))</f>
        <v>300.79202144000004</v>
      </c>
      <c r="G27" s="28">
        <f>SUM(Q27-(Q27*Capa!$C$1))</f>
        <v>161.39202144000004</v>
      </c>
      <c r="H27" s="28">
        <f>SUM(R27-(R27*Capa!$C$1))</f>
        <v>161.39202144000004</v>
      </c>
      <c r="I27" s="170">
        <f>SUM(S27-(S27*Capa!$C$1))</f>
        <v>123.99743774880004</v>
      </c>
      <c r="K27" s="27" t="s">
        <v>333</v>
      </c>
      <c r="L27" s="61">
        <v>231.09202144000005</v>
      </c>
      <c r="M27" s="61">
        <v>248.51702144000004</v>
      </c>
      <c r="N27" s="61">
        <v>265.94202144000002</v>
      </c>
      <c r="O27" s="61">
        <v>283.36702144000003</v>
      </c>
      <c r="P27" s="61">
        <v>300.79202144000004</v>
      </c>
      <c r="Q27" s="60">
        <v>161.39202144000004</v>
      </c>
      <c r="R27" s="60">
        <v>161.39202144000004</v>
      </c>
      <c r="S27" s="170">
        <v>123.99743774880004</v>
      </c>
    </row>
    <row r="28" spans="1:19" ht="14.1" customHeight="1" x14ac:dyDescent="0.2">
      <c r="A28" s="215" t="s">
        <v>339</v>
      </c>
      <c r="B28" s="216">
        <f>SUM(L28-(L28*Capa!$C$1))</f>
        <v>253.33183568000004</v>
      </c>
      <c r="C28" s="216">
        <f>SUM(M28-(M28*Capa!$C$1))</f>
        <v>272.49933568</v>
      </c>
      <c r="D28" s="216">
        <f>SUM(N28-(N28*Capa!$C$1))</f>
        <v>291.66683568000002</v>
      </c>
      <c r="E28" s="216">
        <f>SUM(O28-(O28*Capa!$C$1))</f>
        <v>310.83433567999998</v>
      </c>
      <c r="F28" s="216">
        <f>SUM(P28-(P28*Capa!$C$1))</f>
        <v>330.00183568</v>
      </c>
      <c r="G28" s="216">
        <f>SUM(Q28-(Q28*Capa!$C$1))</f>
        <v>176.66183568000002</v>
      </c>
      <c r="H28" s="216">
        <f>SUM(R28-(R28*Capa!$C$1))</f>
        <v>176.66183568000002</v>
      </c>
      <c r="I28" s="193">
        <f>SUM(S28-(S28*Capa!$C$1))</f>
        <v>132.39655117920003</v>
      </c>
      <c r="K28" s="215" t="s">
        <v>339</v>
      </c>
      <c r="L28" s="339">
        <v>253.33183568000004</v>
      </c>
      <c r="M28" s="339">
        <v>272.49933568</v>
      </c>
      <c r="N28" s="339">
        <v>291.66683568000002</v>
      </c>
      <c r="O28" s="339">
        <v>310.83433567999998</v>
      </c>
      <c r="P28" s="339">
        <v>330.00183568</v>
      </c>
      <c r="Q28" s="338">
        <v>176.66183568000002</v>
      </c>
      <c r="R28" s="338">
        <v>176.66183568000002</v>
      </c>
      <c r="S28" s="193">
        <v>132.39655117920003</v>
      </c>
    </row>
    <row r="29" spans="1:19" ht="14.1" customHeight="1" x14ac:dyDescent="0.2">
      <c r="A29" s="27" t="s">
        <v>334</v>
      </c>
      <c r="B29" s="28">
        <f>SUM(L29-(L29*Capa!$C$1))</f>
        <v>273.71252496</v>
      </c>
      <c r="C29" s="28">
        <f>SUM(M29-(M29*Capa!$C$1))</f>
        <v>294.62252496000002</v>
      </c>
      <c r="D29" s="28">
        <f>SUM(N29-(N29*Capa!$C$1))</f>
        <v>315.53252495999999</v>
      </c>
      <c r="E29" s="28">
        <f>SUM(O29-(O29*Capa!$C$1))</f>
        <v>336.44252496000001</v>
      </c>
      <c r="F29" s="28">
        <f>SUM(P29-(P29*Capa!$C$1))</f>
        <v>357.35252495999998</v>
      </c>
      <c r="G29" s="28">
        <f>SUM(Q29-(Q29*Capa!$C$1))</f>
        <v>190.07252496000001</v>
      </c>
      <c r="H29" s="28">
        <f>SUM(R29-(R29*Capa!$C$1))</f>
        <v>190.07252496000001</v>
      </c>
      <c r="I29" s="170">
        <f>SUM(S29-(S29*Capa!$C$1))</f>
        <v>141.23772321120003</v>
      </c>
      <c r="K29" s="27" t="s">
        <v>334</v>
      </c>
      <c r="L29" s="61">
        <v>273.71252496</v>
      </c>
      <c r="M29" s="61">
        <v>294.62252496000002</v>
      </c>
      <c r="N29" s="61">
        <v>315.53252495999999</v>
      </c>
      <c r="O29" s="61">
        <v>336.44252496000001</v>
      </c>
      <c r="P29" s="61">
        <v>357.35252495999998</v>
      </c>
      <c r="Q29" s="60">
        <v>190.07252496000001</v>
      </c>
      <c r="R29" s="60">
        <v>190.07252496000001</v>
      </c>
      <c r="S29" s="170">
        <v>141.23772321120003</v>
      </c>
    </row>
    <row r="30" spans="1:19" s="24" customFormat="1" ht="20.100000000000001" customHeight="1" x14ac:dyDescent="0.2">
      <c r="A30" s="643" t="s">
        <v>451</v>
      </c>
      <c r="B30" s="644"/>
      <c r="C30" s="644"/>
      <c r="D30" s="644"/>
      <c r="E30" s="644"/>
      <c r="F30" s="644"/>
      <c r="G30" s="644"/>
      <c r="H30" s="644"/>
      <c r="I30" s="645"/>
      <c r="J30" s="62"/>
    </row>
    <row r="31" spans="1:19" ht="14.1" customHeight="1" x14ac:dyDescent="0.2">
      <c r="A31" s="316" t="s">
        <v>631</v>
      </c>
      <c r="B31" s="552" t="s">
        <v>721</v>
      </c>
      <c r="C31" s="552"/>
      <c r="D31" s="552"/>
      <c r="E31" s="552"/>
      <c r="F31" s="552"/>
      <c r="G31" s="552"/>
      <c r="H31" s="552"/>
      <c r="I31" s="244">
        <f>'Wave-Square-Retangular'!G18</f>
        <v>9.66</v>
      </c>
      <c r="J31" s="63"/>
      <c r="K31" s="64"/>
    </row>
    <row r="32" spans="1:19" ht="14.1" customHeight="1" x14ac:dyDescent="0.2">
      <c r="A32" s="57" t="s">
        <v>327</v>
      </c>
      <c r="B32" s="553" t="s">
        <v>499</v>
      </c>
      <c r="C32" s="553"/>
      <c r="D32" s="553"/>
      <c r="E32" s="553"/>
      <c r="F32" s="553"/>
      <c r="G32" s="553"/>
      <c r="H32" s="553"/>
      <c r="I32" s="58">
        <f>'Wave-Square-Retangular'!G19</f>
        <v>9.66</v>
      </c>
      <c r="J32" s="63"/>
      <c r="K32" s="64"/>
    </row>
    <row r="33" spans="1:11" ht="14.1" customHeight="1" x14ac:dyDescent="0.2">
      <c r="A33" s="316" t="s">
        <v>632</v>
      </c>
      <c r="B33" s="552" t="s">
        <v>726</v>
      </c>
      <c r="C33" s="552"/>
      <c r="D33" s="552"/>
      <c r="E33" s="552"/>
      <c r="F33" s="552"/>
      <c r="G33" s="552"/>
      <c r="H33" s="552"/>
      <c r="I33" s="244">
        <f>'Wave-Square-Retangular'!G20</f>
        <v>14.7</v>
      </c>
      <c r="J33" s="63"/>
      <c r="K33" s="64"/>
    </row>
    <row r="34" spans="1:11" ht="14.1" customHeight="1" x14ac:dyDescent="0.2">
      <c r="A34" s="57" t="s">
        <v>346</v>
      </c>
      <c r="B34" s="553" t="s">
        <v>500</v>
      </c>
      <c r="C34" s="553"/>
      <c r="D34" s="553"/>
      <c r="E34" s="553"/>
      <c r="F34" s="553"/>
      <c r="G34" s="553"/>
      <c r="H34" s="553"/>
      <c r="I34" s="58">
        <f>'Wave-Square-Retangular'!G21</f>
        <v>14.7</v>
      </c>
      <c r="J34" s="63"/>
      <c r="K34" s="64"/>
    </row>
    <row r="35" spans="1:11" ht="14.1" customHeight="1" x14ac:dyDescent="0.2">
      <c r="A35" s="316" t="s">
        <v>641</v>
      </c>
      <c r="B35" s="552" t="s">
        <v>756</v>
      </c>
      <c r="C35" s="552"/>
      <c r="D35" s="552"/>
      <c r="E35" s="552"/>
      <c r="F35" s="552"/>
      <c r="G35" s="552"/>
      <c r="H35" s="552"/>
      <c r="I35" s="244">
        <f>'Wave-Square-Retangular'!G22</f>
        <v>4.74</v>
      </c>
      <c r="J35" s="63"/>
      <c r="K35" s="64"/>
    </row>
    <row r="36" spans="1:11" ht="14.1" customHeight="1" x14ac:dyDescent="0.2">
      <c r="A36" s="57" t="s">
        <v>299</v>
      </c>
      <c r="B36" s="553" t="s">
        <v>757</v>
      </c>
      <c r="C36" s="553"/>
      <c r="D36" s="553"/>
      <c r="E36" s="553"/>
      <c r="F36" s="553"/>
      <c r="G36" s="553"/>
      <c r="H36" s="553"/>
      <c r="I36" s="58">
        <f>'Wave-Square-Retangular'!G23</f>
        <v>4.74</v>
      </c>
      <c r="J36" s="63"/>
      <c r="K36" s="64"/>
    </row>
    <row r="37" spans="1:11" ht="14.1" customHeight="1" x14ac:dyDescent="0.2">
      <c r="A37" s="316" t="s">
        <v>640</v>
      </c>
      <c r="B37" s="552" t="s">
        <v>758</v>
      </c>
      <c r="C37" s="552"/>
      <c r="D37" s="552"/>
      <c r="E37" s="552"/>
      <c r="F37" s="552"/>
      <c r="G37" s="552"/>
      <c r="H37" s="552"/>
      <c r="I37" s="244">
        <f>'Wave-Square-Retangular'!G24</f>
        <v>7.59</v>
      </c>
      <c r="J37" s="63"/>
      <c r="K37" s="64"/>
    </row>
    <row r="38" spans="1:11" ht="14.1" customHeight="1" x14ac:dyDescent="0.2">
      <c r="A38" s="57" t="s">
        <v>300</v>
      </c>
      <c r="B38" s="553" t="s">
        <v>759</v>
      </c>
      <c r="C38" s="553"/>
      <c r="D38" s="553"/>
      <c r="E38" s="553"/>
      <c r="F38" s="553"/>
      <c r="G38" s="553"/>
      <c r="H38" s="553"/>
      <c r="I38" s="58">
        <f>'Wave-Square-Retangular'!G25</f>
        <v>7.59</v>
      </c>
      <c r="J38" s="63"/>
      <c r="K38" s="64"/>
    </row>
    <row r="39" spans="1:11" ht="14.1" customHeight="1" x14ac:dyDescent="0.2">
      <c r="A39" s="316" t="s">
        <v>514</v>
      </c>
      <c r="B39" s="552" t="s">
        <v>635</v>
      </c>
      <c r="C39" s="552"/>
      <c r="D39" s="552"/>
      <c r="E39" s="552"/>
      <c r="F39" s="552"/>
      <c r="G39" s="552"/>
      <c r="H39" s="552"/>
      <c r="I39" s="244">
        <f>'Wave-Square-Retangular'!G29</f>
        <v>11.5</v>
      </c>
      <c r="J39" s="63"/>
      <c r="K39" s="64"/>
    </row>
    <row r="40" spans="1:11" ht="14.1" customHeight="1" x14ac:dyDescent="0.2">
      <c r="A40" s="57" t="s">
        <v>626</v>
      </c>
      <c r="B40" s="553" t="s">
        <v>627</v>
      </c>
      <c r="C40" s="553"/>
      <c r="D40" s="553"/>
      <c r="E40" s="553"/>
      <c r="F40" s="553"/>
      <c r="G40" s="553"/>
      <c r="H40" s="553"/>
      <c r="I40" s="58">
        <f>'Wave-Square-Retangular'!G30</f>
        <v>9.66</v>
      </c>
      <c r="J40" s="63"/>
      <c r="K40" s="64"/>
    </row>
    <row r="41" spans="1:11" ht="29.85" customHeight="1" x14ac:dyDescent="0.2">
      <c r="A41" s="617" t="s">
        <v>728</v>
      </c>
      <c r="B41" s="618"/>
      <c r="C41" s="618"/>
      <c r="D41" s="618"/>
      <c r="E41" s="618"/>
      <c r="F41" s="618"/>
      <c r="G41" s="618"/>
      <c r="H41" s="618"/>
      <c r="I41" s="619"/>
    </row>
    <row r="42" spans="1:11" ht="17.100000000000001" customHeight="1" x14ac:dyDescent="0.2">
      <c r="A42" s="654" t="s">
        <v>739</v>
      </c>
      <c r="B42" s="655"/>
      <c r="C42" s="655"/>
      <c r="D42" s="655"/>
      <c r="E42" s="655"/>
      <c r="F42" s="655"/>
      <c r="G42" s="655"/>
      <c r="H42" s="655"/>
      <c r="I42" s="656"/>
      <c r="K42" s="64"/>
    </row>
    <row r="43" spans="1:11" ht="17.100000000000001" customHeight="1" x14ac:dyDescent="0.2">
      <c r="A43" s="646" t="s">
        <v>313</v>
      </c>
      <c r="B43" s="647"/>
      <c r="C43" s="647"/>
      <c r="D43" s="647"/>
      <c r="E43" s="647"/>
      <c r="F43" s="647"/>
      <c r="G43" s="647"/>
      <c r="H43" s="647"/>
      <c r="I43" s="648"/>
      <c r="K43" s="64"/>
    </row>
    <row r="44" spans="1:11" x14ac:dyDescent="0.2">
      <c r="A44" s="628"/>
      <c r="B44" s="629"/>
      <c r="C44" s="629"/>
      <c r="D44" s="629"/>
      <c r="E44" s="629"/>
      <c r="F44" s="629"/>
      <c r="G44" s="629"/>
      <c r="H44" s="629"/>
      <c r="I44" s="652"/>
      <c r="K44" s="64"/>
    </row>
    <row r="45" spans="1:11" x14ac:dyDescent="0.2">
      <c r="A45" s="628"/>
      <c r="B45" s="629"/>
      <c r="C45" s="629"/>
      <c r="D45" s="629"/>
      <c r="E45" s="629"/>
      <c r="F45" s="629"/>
      <c r="G45" s="629"/>
      <c r="H45" s="629"/>
      <c r="I45" s="652"/>
      <c r="K45" s="64"/>
    </row>
    <row r="46" spans="1:11" x14ac:dyDescent="0.2">
      <c r="A46" s="628"/>
      <c r="B46" s="629"/>
      <c r="C46" s="629"/>
      <c r="D46" s="629"/>
      <c r="E46" s="629"/>
      <c r="F46" s="629"/>
      <c r="G46" s="629"/>
      <c r="H46" s="629"/>
      <c r="I46" s="652"/>
      <c r="K46" s="64"/>
    </row>
    <row r="47" spans="1:11" x14ac:dyDescent="0.2">
      <c r="A47" s="628"/>
      <c r="B47" s="629"/>
      <c r="C47" s="629"/>
      <c r="D47" s="629"/>
      <c r="E47" s="629"/>
      <c r="F47" s="629"/>
      <c r="G47" s="629"/>
      <c r="H47" s="629"/>
      <c r="I47" s="652"/>
      <c r="K47" s="64"/>
    </row>
    <row r="48" spans="1:11" x14ac:dyDescent="0.2">
      <c r="A48" s="628"/>
      <c r="B48" s="629"/>
      <c r="C48" s="629"/>
      <c r="D48" s="629"/>
      <c r="E48" s="629"/>
      <c r="F48" s="629"/>
      <c r="G48" s="629"/>
      <c r="H48" s="629"/>
      <c r="I48" s="652"/>
      <c r="K48" s="64"/>
    </row>
    <row r="49" spans="1:250" x14ac:dyDescent="0.2">
      <c r="A49" s="628"/>
      <c r="B49" s="629"/>
      <c r="C49" s="629"/>
      <c r="D49" s="629"/>
      <c r="E49" s="629"/>
      <c r="F49" s="629"/>
      <c r="G49" s="629"/>
      <c r="H49" s="629"/>
      <c r="I49" s="652"/>
    </row>
    <row r="50" spans="1:250" x14ac:dyDescent="0.2">
      <c r="A50" s="628"/>
      <c r="B50" s="629"/>
      <c r="C50" s="629"/>
      <c r="D50" s="629"/>
      <c r="E50" s="629"/>
      <c r="F50" s="629"/>
      <c r="G50" s="629"/>
      <c r="H50" s="629"/>
      <c r="I50" s="652"/>
    </row>
    <row r="51" spans="1:250" x14ac:dyDescent="0.2">
      <c r="A51" s="628"/>
      <c r="B51" s="629"/>
      <c r="C51" s="629"/>
      <c r="D51" s="629"/>
      <c r="E51" s="629"/>
      <c r="F51" s="629"/>
      <c r="G51" s="629"/>
      <c r="H51" s="629"/>
      <c r="I51" s="652"/>
    </row>
    <row r="52" spans="1:250" x14ac:dyDescent="0.2">
      <c r="A52" s="628"/>
      <c r="B52" s="629"/>
      <c r="C52" s="629"/>
      <c r="D52" s="629"/>
      <c r="E52" s="629"/>
      <c r="F52" s="629"/>
      <c r="G52" s="629"/>
      <c r="H52" s="629"/>
      <c r="I52" s="652"/>
    </row>
    <row r="53" spans="1:250" x14ac:dyDescent="0.2">
      <c r="A53" s="628"/>
      <c r="B53" s="629"/>
      <c r="C53" s="629"/>
      <c r="D53" s="629"/>
      <c r="E53" s="629"/>
      <c r="F53" s="629"/>
      <c r="G53" s="629"/>
      <c r="H53" s="629"/>
      <c r="I53" s="652"/>
    </row>
    <row r="54" spans="1:250" s="228" customFormat="1" ht="30" customHeight="1" thickBot="1" x14ac:dyDescent="0.25">
      <c r="A54" s="630"/>
      <c r="B54" s="631"/>
      <c r="C54" s="631"/>
      <c r="D54" s="631"/>
      <c r="E54" s="631"/>
      <c r="F54" s="631"/>
      <c r="G54" s="631"/>
      <c r="H54" s="631"/>
      <c r="I54" s="653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49"/>
    </row>
    <row r="55" spans="1:250" s="228" customFormat="1" ht="33.75" customHeight="1" x14ac:dyDescent="0.2">
      <c r="C55" s="49"/>
      <c r="D55" s="49"/>
      <c r="E55" s="49"/>
      <c r="F55" s="49"/>
      <c r="G55" s="49"/>
      <c r="H55" s="49"/>
      <c r="I55" s="64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  <c r="IJ55" s="49"/>
      <c r="IK55" s="49"/>
      <c r="IL55" s="49"/>
      <c r="IM55" s="49"/>
      <c r="IN55" s="49"/>
      <c r="IO55" s="49"/>
      <c r="IP55" s="49"/>
    </row>
  </sheetData>
  <sheetProtection sheet="1" objects="1" scenarios="1"/>
  <mergeCells count="21">
    <mergeCell ref="A1:E1"/>
    <mergeCell ref="F1:I1"/>
    <mergeCell ref="A44:I54"/>
    <mergeCell ref="A2:I2"/>
    <mergeCell ref="A3:I3"/>
    <mergeCell ref="A16:I16"/>
    <mergeCell ref="A17:I17"/>
    <mergeCell ref="B31:H31"/>
    <mergeCell ref="B40:H40"/>
    <mergeCell ref="A30:I30"/>
    <mergeCell ref="A42:I42"/>
    <mergeCell ref="A43:I43"/>
    <mergeCell ref="A41:I41"/>
    <mergeCell ref="B32:H32"/>
    <mergeCell ref="B33:H33"/>
    <mergeCell ref="B34:H34"/>
    <mergeCell ref="B35:H35"/>
    <mergeCell ref="B36:H36"/>
    <mergeCell ref="B37:H37"/>
    <mergeCell ref="B38:H38"/>
    <mergeCell ref="B39:H39"/>
  </mergeCells>
  <printOptions horizontalCentered="1"/>
  <pageMargins left="0.23622047244094491" right="0.23622047244094491" top="0.39370078740157483" bottom="0.19685039370078741" header="0.19685039370078741" footer="0"/>
  <pageSetup scale="83" orientation="portrait" r:id="rId1"/>
  <headerFooter>
    <oddFooter>Página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6"/>
  <dimension ref="A1:IQ69"/>
  <sheetViews>
    <sheetView showGridLines="0" showWhiteSpace="0" view="pageLayout" zoomScale="80" zoomScaleNormal="100" zoomScalePageLayoutView="80" workbookViewId="0">
      <selection sqref="A1:G1"/>
    </sheetView>
  </sheetViews>
  <sheetFormatPr defaultRowHeight="14.25" x14ac:dyDescent="0.2"/>
  <cols>
    <col min="1" max="1" width="10.85546875" style="167" customWidth="1"/>
    <col min="2" max="2" width="25.42578125" style="166" customWidth="1"/>
    <col min="3" max="3" width="22.42578125" style="166" customWidth="1"/>
    <col min="4" max="4" width="15.7109375" style="10" customWidth="1"/>
    <col min="5" max="5" width="25.7109375" style="10" customWidth="1"/>
    <col min="6" max="6" width="11.140625" style="10" customWidth="1"/>
    <col min="7" max="7" width="14.5703125" style="10" customWidth="1"/>
    <col min="8" max="8" width="9.140625" style="10" customWidth="1"/>
    <col min="9" max="9" width="12.7109375" style="210" hidden="1" customWidth="1"/>
    <col min="10" max="10" width="13.85546875" style="10" hidden="1" customWidth="1"/>
    <col min="11" max="12" width="12.7109375" style="10" customWidth="1"/>
    <col min="13" max="15" width="9.140625" style="10"/>
    <col min="16" max="16" width="38.140625" style="10" customWidth="1"/>
    <col min="17" max="16384" width="9.140625" style="10"/>
  </cols>
  <sheetData>
    <row r="1" spans="1:14" s="23" customFormat="1" ht="24.95" customHeight="1" thickBot="1" x14ac:dyDescent="0.25">
      <c r="A1" s="665" t="s">
        <v>647</v>
      </c>
      <c r="B1" s="666"/>
      <c r="C1" s="666"/>
      <c r="D1" s="666"/>
      <c r="E1" s="666"/>
      <c r="F1" s="666"/>
      <c r="G1" s="667"/>
      <c r="I1" s="163"/>
    </row>
    <row r="2" spans="1:14" s="30" customFormat="1" ht="14.1" customHeight="1" x14ac:dyDescent="0.2">
      <c r="A2" s="300" t="s">
        <v>113</v>
      </c>
      <c r="B2" s="583" t="s">
        <v>114</v>
      </c>
      <c r="C2" s="583"/>
      <c r="D2" s="583" t="s">
        <v>74</v>
      </c>
      <c r="E2" s="583"/>
      <c r="F2" s="583"/>
      <c r="G2" s="301" t="s">
        <v>117</v>
      </c>
      <c r="I2" s="364" t="s">
        <v>117</v>
      </c>
      <c r="J2" s="168"/>
      <c r="K2" s="168"/>
    </row>
    <row r="3" spans="1:14" s="29" customFormat="1" ht="12.95" customHeight="1" x14ac:dyDescent="0.2">
      <c r="A3" s="57" t="s">
        <v>149</v>
      </c>
      <c r="B3" s="553" t="s">
        <v>650</v>
      </c>
      <c r="C3" s="553"/>
      <c r="D3" s="663" t="s">
        <v>651</v>
      </c>
      <c r="E3" s="663"/>
      <c r="F3" s="663"/>
      <c r="G3" s="58">
        <f>SUM(I3-(I3*Capa!$C$1))</f>
        <v>18.95</v>
      </c>
      <c r="H3" s="30"/>
      <c r="I3" s="365">
        <v>18.95</v>
      </c>
      <c r="J3" s="111"/>
      <c r="K3" s="111"/>
    </row>
    <row r="4" spans="1:14" s="29" customFormat="1" ht="12.75" customHeight="1" x14ac:dyDescent="0.2">
      <c r="A4" s="316" t="s">
        <v>149</v>
      </c>
      <c r="B4" s="552" t="s">
        <v>581</v>
      </c>
      <c r="C4" s="552"/>
      <c r="D4" s="671" t="s">
        <v>743</v>
      </c>
      <c r="E4" s="671"/>
      <c r="F4" s="671"/>
      <c r="G4" s="244">
        <f>SUM(I4-(I4*Capa!$C$1))</f>
        <v>17.16</v>
      </c>
      <c r="H4" s="30"/>
      <c r="I4" s="366">
        <v>17.16</v>
      </c>
      <c r="J4" s="111"/>
      <c r="K4" s="111"/>
    </row>
    <row r="5" spans="1:14" s="29" customFormat="1" ht="12.75" customHeight="1" x14ac:dyDescent="0.2">
      <c r="A5" s="57" t="s">
        <v>149</v>
      </c>
      <c r="B5" s="553" t="s">
        <v>581</v>
      </c>
      <c r="C5" s="553"/>
      <c r="D5" s="663" t="s">
        <v>624</v>
      </c>
      <c r="E5" s="663"/>
      <c r="F5" s="663"/>
      <c r="G5" s="58">
        <f>SUM(I5-(I5*Capa!$C$1))</f>
        <v>18.95</v>
      </c>
      <c r="H5" s="30"/>
      <c r="I5" s="365">
        <v>18.95</v>
      </c>
      <c r="J5" s="111"/>
      <c r="K5" s="111"/>
    </row>
    <row r="6" spans="1:14" s="29" customFormat="1" ht="12.95" customHeight="1" x14ac:dyDescent="0.2">
      <c r="A6" s="316" t="s">
        <v>149</v>
      </c>
      <c r="B6" s="552" t="s">
        <v>581</v>
      </c>
      <c r="C6" s="552"/>
      <c r="D6" s="671" t="s">
        <v>628</v>
      </c>
      <c r="E6" s="671"/>
      <c r="F6" s="671"/>
      <c r="G6" s="244">
        <f>SUM(I6-(I6*Capa!$C$1))</f>
        <v>16.8</v>
      </c>
      <c r="H6" s="30"/>
      <c r="I6" s="366">
        <v>16.8</v>
      </c>
      <c r="J6" s="111"/>
      <c r="K6" s="111"/>
    </row>
    <row r="7" spans="1:14" s="29" customFormat="1" ht="12.75" customHeight="1" x14ac:dyDescent="0.2">
      <c r="A7" s="57" t="s">
        <v>149</v>
      </c>
      <c r="B7" s="553" t="s">
        <v>581</v>
      </c>
      <c r="C7" s="553"/>
      <c r="D7" s="663" t="s">
        <v>629</v>
      </c>
      <c r="E7" s="663"/>
      <c r="F7" s="663"/>
      <c r="G7" s="58">
        <f>SUM(I7-(I7*Capa!$C$1))</f>
        <v>20.27</v>
      </c>
      <c r="H7" s="30"/>
      <c r="I7" s="365">
        <v>20.27</v>
      </c>
      <c r="J7" s="111"/>
      <c r="K7" s="111"/>
    </row>
    <row r="8" spans="1:14" s="29" customFormat="1" ht="12.95" customHeight="1" x14ac:dyDescent="0.2">
      <c r="A8" s="316" t="s">
        <v>794</v>
      </c>
      <c r="B8" s="552" t="s">
        <v>795</v>
      </c>
      <c r="C8" s="552"/>
      <c r="D8" s="668" t="s">
        <v>796</v>
      </c>
      <c r="E8" s="668"/>
      <c r="F8" s="668"/>
      <c r="G8" s="244">
        <f>SUM(I8-(I8*Capa!$C$1))</f>
        <v>12.92</v>
      </c>
      <c r="I8" s="366">
        <v>12.92</v>
      </c>
      <c r="J8" s="140"/>
    </row>
    <row r="9" spans="1:14" s="29" customFormat="1" ht="12.95" customHeight="1" x14ac:dyDescent="0.2">
      <c r="A9" s="57" t="s">
        <v>794</v>
      </c>
      <c r="B9" s="553" t="s">
        <v>795</v>
      </c>
      <c r="C9" s="553"/>
      <c r="D9" s="661" t="s">
        <v>797</v>
      </c>
      <c r="E9" s="661"/>
      <c r="F9" s="661"/>
      <c r="G9" s="58">
        <f>SUM(I9-(I9*Capa!$C$1))</f>
        <v>11.88</v>
      </c>
      <c r="I9" s="365">
        <v>11.88</v>
      </c>
      <c r="J9" s="140"/>
    </row>
    <row r="10" spans="1:14" s="29" customFormat="1" ht="12.75" customHeight="1" x14ac:dyDescent="0.2">
      <c r="A10" s="316" t="s">
        <v>794</v>
      </c>
      <c r="B10" s="552" t="s">
        <v>795</v>
      </c>
      <c r="C10" s="552"/>
      <c r="D10" s="668" t="s">
        <v>624</v>
      </c>
      <c r="E10" s="668"/>
      <c r="F10" s="668"/>
      <c r="G10" s="244">
        <f>SUM(I10-(I10*Capa!$C$1))</f>
        <v>12.92</v>
      </c>
      <c r="I10" s="369">
        <v>12.92</v>
      </c>
      <c r="J10" s="473"/>
    </row>
    <row r="11" spans="1:14" s="29" customFormat="1" ht="12.75" customHeight="1" x14ac:dyDescent="0.2">
      <c r="A11" s="57" t="s">
        <v>794</v>
      </c>
      <c r="B11" s="553" t="s">
        <v>795</v>
      </c>
      <c r="C11" s="553"/>
      <c r="D11" s="661" t="s">
        <v>798</v>
      </c>
      <c r="E11" s="661"/>
      <c r="F11" s="661"/>
      <c r="G11" s="58">
        <f>SUM(I11-(I11*Capa!$C$1))</f>
        <v>12.92</v>
      </c>
      <c r="I11" s="365">
        <v>12.92</v>
      </c>
      <c r="J11" s="140"/>
    </row>
    <row r="12" spans="1:14" s="29" customFormat="1" ht="12.95" customHeight="1" x14ac:dyDescent="0.2">
      <c r="A12" s="316" t="s">
        <v>316</v>
      </c>
      <c r="B12" s="552" t="s">
        <v>582</v>
      </c>
      <c r="C12" s="552"/>
      <c r="D12" s="668" t="s">
        <v>763</v>
      </c>
      <c r="E12" s="668"/>
      <c r="F12" s="668"/>
      <c r="G12" s="244">
        <f>SUM(I12-(I12*Capa!$C$1))</f>
        <v>14.3</v>
      </c>
      <c r="I12" s="366">
        <v>14.3</v>
      </c>
      <c r="J12" s="111"/>
      <c r="K12" s="111"/>
    </row>
    <row r="13" spans="1:14" s="29" customFormat="1" ht="12.95" customHeight="1" x14ac:dyDescent="0.2">
      <c r="A13" s="57" t="s">
        <v>360</v>
      </c>
      <c r="B13" s="553" t="s">
        <v>373</v>
      </c>
      <c r="C13" s="553"/>
      <c r="D13" s="661" t="s">
        <v>649</v>
      </c>
      <c r="E13" s="661"/>
      <c r="F13" s="661"/>
      <c r="G13" s="58">
        <f>Trilhos!E5</f>
        <v>7.81</v>
      </c>
      <c r="I13" s="441" t="s">
        <v>139</v>
      </c>
      <c r="J13" s="111"/>
      <c r="K13" s="111"/>
    </row>
    <row r="14" spans="1:14" s="29" customFormat="1" ht="12.95" customHeight="1" thickBot="1" x14ac:dyDescent="0.25">
      <c r="A14" s="316" t="s">
        <v>652</v>
      </c>
      <c r="B14" s="552" t="s">
        <v>653</v>
      </c>
      <c r="C14" s="552"/>
      <c r="D14" s="668" t="s">
        <v>649</v>
      </c>
      <c r="E14" s="668"/>
      <c r="F14" s="668"/>
      <c r="G14" s="244">
        <f>Trilhos!E6</f>
        <v>8.98</v>
      </c>
      <c r="I14" s="370" t="s">
        <v>139</v>
      </c>
      <c r="J14" s="111"/>
      <c r="K14" s="111"/>
    </row>
    <row r="15" spans="1:14" s="139" customFormat="1" ht="24.95" customHeight="1" x14ac:dyDescent="0.2">
      <c r="A15" s="657" t="s">
        <v>585</v>
      </c>
      <c r="B15" s="658"/>
      <c r="C15" s="658"/>
      <c r="D15" s="658"/>
      <c r="E15" s="658"/>
      <c r="F15" s="658"/>
      <c r="G15" s="659"/>
      <c r="I15" s="367"/>
      <c r="J15" s="183"/>
      <c r="K15" s="183"/>
      <c r="L15" s="23"/>
      <c r="M15" s="23"/>
      <c r="N15" s="23"/>
    </row>
    <row r="16" spans="1:14" s="23" customFormat="1" ht="24.95" customHeight="1" thickBot="1" x14ac:dyDescent="0.25">
      <c r="A16" s="625" t="s">
        <v>451</v>
      </c>
      <c r="B16" s="626"/>
      <c r="C16" s="626"/>
      <c r="D16" s="626"/>
      <c r="E16" s="626"/>
      <c r="F16" s="626"/>
      <c r="G16" s="627"/>
      <c r="I16" s="163"/>
    </row>
    <row r="17" spans="1:251" s="30" customFormat="1" ht="14.1" customHeight="1" x14ac:dyDescent="0.2">
      <c r="A17" s="300" t="s">
        <v>113</v>
      </c>
      <c r="B17" s="583" t="s">
        <v>114</v>
      </c>
      <c r="C17" s="583"/>
      <c r="D17" s="583" t="s">
        <v>74</v>
      </c>
      <c r="E17" s="583"/>
      <c r="F17" s="583"/>
      <c r="G17" s="301" t="s">
        <v>117</v>
      </c>
      <c r="I17" s="364" t="s">
        <v>117</v>
      </c>
    </row>
    <row r="18" spans="1:251" s="29" customFormat="1" ht="12.95" customHeight="1" x14ac:dyDescent="0.2">
      <c r="A18" s="57" t="s">
        <v>631</v>
      </c>
      <c r="B18" s="553" t="s">
        <v>724</v>
      </c>
      <c r="C18" s="553"/>
      <c r="D18" s="669" t="s">
        <v>630</v>
      </c>
      <c r="E18" s="669"/>
      <c r="F18" s="669"/>
      <c r="G18" s="58">
        <f>SUM(I18-(I18*Capa!$C$1))</f>
        <v>9.66</v>
      </c>
      <c r="I18" s="379">
        <v>9.66</v>
      </c>
      <c r="J18" s="111"/>
      <c r="K18" s="111"/>
    </row>
    <row r="19" spans="1:251" s="29" customFormat="1" ht="12.95" customHeight="1" x14ac:dyDescent="0.2">
      <c r="A19" s="316" t="s">
        <v>327</v>
      </c>
      <c r="B19" s="552" t="s">
        <v>499</v>
      </c>
      <c r="C19" s="552"/>
      <c r="D19" s="670" t="s">
        <v>674</v>
      </c>
      <c r="E19" s="670"/>
      <c r="F19" s="670"/>
      <c r="G19" s="244">
        <f>SUM(I19-(I19*Capa!$C$1))</f>
        <v>9.66</v>
      </c>
      <c r="I19" s="380">
        <v>9.66</v>
      </c>
      <c r="J19" s="111"/>
      <c r="K19" s="111"/>
    </row>
    <row r="20" spans="1:251" s="29" customFormat="1" ht="12.95" customHeight="1" x14ac:dyDescent="0.2">
      <c r="A20" s="57" t="s">
        <v>632</v>
      </c>
      <c r="B20" s="553" t="s">
        <v>722</v>
      </c>
      <c r="C20" s="553"/>
      <c r="D20" s="672" t="s">
        <v>630</v>
      </c>
      <c r="E20" s="672"/>
      <c r="F20" s="672"/>
      <c r="G20" s="58">
        <f>SUM(I20-(I20*Capa!$C$1))</f>
        <v>14.7</v>
      </c>
      <c r="I20" s="381">
        <v>14.7</v>
      </c>
      <c r="J20" s="111"/>
      <c r="K20" s="111"/>
    </row>
    <row r="21" spans="1:251" s="29" customFormat="1" ht="12.95" customHeight="1" x14ac:dyDescent="0.2">
      <c r="A21" s="316" t="s">
        <v>346</v>
      </c>
      <c r="B21" s="552" t="s">
        <v>500</v>
      </c>
      <c r="C21" s="552"/>
      <c r="D21" s="660" t="s">
        <v>674</v>
      </c>
      <c r="E21" s="660"/>
      <c r="F21" s="660"/>
      <c r="G21" s="244">
        <f>SUM(I21-(I21*Capa!$C$1))</f>
        <v>14.7</v>
      </c>
      <c r="I21" s="382">
        <v>14.7</v>
      </c>
      <c r="J21" s="111"/>
      <c r="K21" s="111"/>
    </row>
    <row r="22" spans="1:251" s="29" customFormat="1" ht="12.95" customHeight="1" x14ac:dyDescent="0.2">
      <c r="A22" s="57" t="s">
        <v>641</v>
      </c>
      <c r="B22" s="553" t="s">
        <v>723</v>
      </c>
      <c r="C22" s="553"/>
      <c r="D22" s="661" t="s">
        <v>649</v>
      </c>
      <c r="E22" s="661"/>
      <c r="F22" s="661"/>
      <c r="G22" s="58">
        <f>SUM(I22-(I22*Capa!$C$1))</f>
        <v>4.74</v>
      </c>
      <c r="I22" s="383">
        <v>4.74</v>
      </c>
      <c r="J22" s="111"/>
      <c r="K22" s="111"/>
    </row>
    <row r="23" spans="1:251" s="29" customFormat="1" ht="12.95" customHeight="1" x14ac:dyDescent="0.2">
      <c r="A23" s="316" t="s">
        <v>299</v>
      </c>
      <c r="B23" s="552" t="s">
        <v>362</v>
      </c>
      <c r="C23" s="552"/>
      <c r="D23" s="668" t="s">
        <v>649</v>
      </c>
      <c r="E23" s="668"/>
      <c r="F23" s="668"/>
      <c r="G23" s="244">
        <f>SUM(I23-(I23*Capa!$C$1))</f>
        <v>4.74</v>
      </c>
      <c r="I23" s="384">
        <v>4.74</v>
      </c>
      <c r="J23" s="111"/>
      <c r="K23" s="111"/>
    </row>
    <row r="24" spans="1:251" s="29" customFormat="1" ht="12.95" customHeight="1" x14ac:dyDescent="0.2">
      <c r="A24" s="57" t="s">
        <v>640</v>
      </c>
      <c r="B24" s="553" t="s">
        <v>725</v>
      </c>
      <c r="C24" s="553"/>
      <c r="D24" s="661" t="s">
        <v>649</v>
      </c>
      <c r="E24" s="661"/>
      <c r="F24" s="661"/>
      <c r="G24" s="58">
        <f>SUM(I24-(I24*Capa!$C$1))</f>
        <v>7.59</v>
      </c>
      <c r="I24" s="381">
        <v>7.59</v>
      </c>
      <c r="J24" s="111"/>
      <c r="K24" s="111"/>
    </row>
    <row r="25" spans="1:251" s="29" customFormat="1" ht="12.95" customHeight="1" x14ac:dyDescent="0.2">
      <c r="A25" s="316" t="s">
        <v>300</v>
      </c>
      <c r="B25" s="552" t="s">
        <v>363</v>
      </c>
      <c r="C25" s="552"/>
      <c r="D25" s="668" t="s">
        <v>649</v>
      </c>
      <c r="E25" s="668"/>
      <c r="F25" s="668"/>
      <c r="G25" s="244">
        <f>SUM(I25-(I25*Capa!$C$1))</f>
        <v>7.59</v>
      </c>
      <c r="I25" s="382">
        <v>7.59</v>
      </c>
      <c r="J25" s="111"/>
      <c r="K25" s="111"/>
    </row>
    <row r="26" spans="1:251" s="29" customFormat="1" ht="12.95" customHeight="1" x14ac:dyDescent="0.2">
      <c r="A26" s="57" t="s">
        <v>317</v>
      </c>
      <c r="B26" s="553" t="s">
        <v>496</v>
      </c>
      <c r="C26" s="553"/>
      <c r="D26" s="661" t="s">
        <v>620</v>
      </c>
      <c r="E26" s="661"/>
      <c r="F26" s="661"/>
      <c r="G26" s="58">
        <f>SUM(I26-(I26*Capa!$C$1))</f>
        <v>19.5</v>
      </c>
      <c r="I26" s="381">
        <v>19.5</v>
      </c>
      <c r="J26" s="140"/>
      <c r="K26" s="140"/>
    </row>
    <row r="27" spans="1:251" s="29" customFormat="1" ht="12.95" customHeight="1" x14ac:dyDescent="0.2">
      <c r="A27" s="316" t="s">
        <v>321</v>
      </c>
      <c r="B27" s="552" t="s">
        <v>497</v>
      </c>
      <c r="C27" s="552"/>
      <c r="D27" s="668" t="s">
        <v>620</v>
      </c>
      <c r="E27" s="668"/>
      <c r="F27" s="668"/>
      <c r="G27" s="244">
        <f>SUM(I27-(I27*Capa!$C$1))</f>
        <v>22.47</v>
      </c>
      <c r="I27" s="380">
        <v>22.47</v>
      </c>
      <c r="J27" s="140"/>
      <c r="K27" s="140"/>
      <c r="L27" s="140"/>
      <c r="M27" s="111"/>
      <c r="N27" s="30"/>
      <c r="O27" s="664"/>
      <c r="P27" s="664"/>
      <c r="Q27" s="664"/>
      <c r="R27" s="664"/>
      <c r="S27" s="140"/>
      <c r="T27" s="140"/>
      <c r="U27" s="111"/>
      <c r="V27" s="30"/>
      <c r="W27" s="664"/>
      <c r="X27" s="664"/>
      <c r="Y27" s="664"/>
      <c r="Z27" s="664"/>
      <c r="AA27" s="140"/>
      <c r="AB27" s="140"/>
      <c r="AC27" s="111"/>
      <c r="AD27" s="30"/>
      <c r="AE27" s="664"/>
      <c r="AF27" s="664"/>
      <c r="AG27" s="664"/>
      <c r="AH27" s="664"/>
      <c r="AI27" s="140"/>
      <c r="AJ27" s="140"/>
      <c r="AK27" s="111"/>
      <c r="AL27" s="30"/>
      <c r="AM27" s="664"/>
      <c r="AN27" s="664"/>
      <c r="AO27" s="664"/>
      <c r="AP27" s="664"/>
      <c r="AQ27" s="140"/>
      <c r="AR27" s="140"/>
      <c r="AS27" s="111"/>
      <c r="AT27" s="30"/>
      <c r="AU27" s="664"/>
      <c r="AV27" s="664"/>
      <c r="AW27" s="664"/>
      <c r="AX27" s="664"/>
      <c r="AY27" s="140"/>
      <c r="AZ27" s="140"/>
      <c r="BA27" s="111"/>
      <c r="BB27" s="30"/>
      <c r="BC27" s="664"/>
      <c r="BD27" s="664"/>
      <c r="BE27" s="664"/>
      <c r="BF27" s="664"/>
      <c r="BG27" s="140"/>
      <c r="BH27" s="140"/>
      <c r="BI27" s="111"/>
      <c r="BJ27" s="30"/>
      <c r="BK27" s="664"/>
      <c r="BL27" s="664"/>
      <c r="BM27" s="664"/>
      <c r="BN27" s="664"/>
      <c r="BO27" s="140"/>
      <c r="BP27" s="140"/>
      <c r="BQ27" s="111"/>
      <c r="BR27" s="30"/>
      <c r="BS27" s="664"/>
      <c r="BT27" s="664"/>
      <c r="BU27" s="664"/>
      <c r="BV27" s="664"/>
      <c r="BW27" s="140"/>
      <c r="BX27" s="140"/>
      <c r="BY27" s="111"/>
      <c r="BZ27" s="30"/>
      <c r="CA27" s="664"/>
      <c r="CB27" s="664"/>
      <c r="CC27" s="664"/>
      <c r="CD27" s="664"/>
      <c r="CE27" s="140"/>
      <c r="CF27" s="140"/>
      <c r="CG27" s="111"/>
      <c r="CH27" s="30"/>
      <c r="CI27" s="664"/>
      <c r="CJ27" s="664"/>
      <c r="CK27" s="664"/>
      <c r="CL27" s="664"/>
      <c r="CM27" s="140"/>
      <c r="CN27" s="140"/>
      <c r="CO27" s="111"/>
      <c r="CP27" s="30"/>
      <c r="CQ27" s="664"/>
      <c r="CR27" s="664"/>
      <c r="CS27" s="664"/>
      <c r="CT27" s="664"/>
      <c r="CU27" s="140"/>
      <c r="CV27" s="140"/>
      <c r="CW27" s="111"/>
      <c r="CX27" s="30"/>
      <c r="CY27" s="664"/>
      <c r="CZ27" s="664"/>
      <c r="DA27" s="664"/>
      <c r="DB27" s="664"/>
      <c r="DC27" s="140"/>
      <c r="DD27" s="140"/>
      <c r="DE27" s="111"/>
      <c r="DF27" s="30"/>
      <c r="DG27" s="664"/>
      <c r="DH27" s="664"/>
      <c r="DI27" s="664"/>
      <c r="DJ27" s="664"/>
      <c r="DK27" s="140"/>
      <c r="DL27" s="140"/>
      <c r="DM27" s="111"/>
      <c r="DN27" s="30"/>
      <c r="DO27" s="664"/>
      <c r="DP27" s="664"/>
      <c r="DQ27" s="664"/>
      <c r="DR27" s="664"/>
      <c r="DS27" s="140"/>
      <c r="DT27" s="140"/>
      <c r="DU27" s="111"/>
      <c r="DV27" s="30"/>
      <c r="DW27" s="664"/>
      <c r="DX27" s="664"/>
      <c r="DY27" s="664"/>
      <c r="DZ27" s="664"/>
      <c r="EA27" s="140"/>
      <c r="EB27" s="140"/>
      <c r="EC27" s="111"/>
      <c r="ED27" s="30"/>
      <c r="EE27" s="664"/>
      <c r="EF27" s="664"/>
      <c r="EG27" s="664"/>
      <c r="EH27" s="664"/>
      <c r="EI27" s="140"/>
      <c r="EJ27" s="140"/>
      <c r="EK27" s="111"/>
      <c r="EL27" s="30"/>
      <c r="EM27" s="664"/>
      <c r="EN27" s="664"/>
      <c r="EO27" s="664"/>
      <c r="EP27" s="664"/>
      <c r="EQ27" s="140"/>
      <c r="ER27" s="140"/>
      <c r="ES27" s="111"/>
      <c r="ET27" s="30"/>
      <c r="EU27" s="664"/>
      <c r="EV27" s="664"/>
      <c r="EW27" s="664"/>
      <c r="EX27" s="664"/>
      <c r="EY27" s="140"/>
      <c r="EZ27" s="140"/>
      <c r="FA27" s="111"/>
      <c r="FB27" s="30"/>
      <c r="FC27" s="664"/>
      <c r="FD27" s="664"/>
      <c r="FE27" s="664"/>
      <c r="FF27" s="664"/>
      <c r="FG27" s="140"/>
      <c r="FH27" s="140"/>
      <c r="FI27" s="111"/>
      <c r="FJ27" s="30"/>
      <c r="FK27" s="664"/>
      <c r="FL27" s="664"/>
      <c r="FM27" s="664"/>
      <c r="FN27" s="664"/>
      <c r="FO27" s="140"/>
      <c r="FP27" s="140"/>
      <c r="FQ27" s="111"/>
      <c r="FR27" s="30"/>
      <c r="FS27" s="664"/>
      <c r="FT27" s="664"/>
      <c r="FU27" s="664"/>
      <c r="FV27" s="664"/>
      <c r="FW27" s="140"/>
      <c r="FX27" s="140"/>
      <c r="FY27" s="111"/>
      <c r="FZ27" s="30"/>
      <c r="GA27" s="664"/>
      <c r="GB27" s="664"/>
      <c r="GC27" s="664"/>
      <c r="GD27" s="664"/>
      <c r="GE27" s="140"/>
      <c r="GF27" s="140"/>
      <c r="GG27" s="111"/>
      <c r="GH27" s="30"/>
      <c r="GI27" s="664"/>
      <c r="GJ27" s="664"/>
      <c r="GK27" s="664"/>
      <c r="GL27" s="664"/>
      <c r="GM27" s="140"/>
      <c r="GN27" s="140"/>
      <c r="GO27" s="111"/>
      <c r="GP27" s="30"/>
      <c r="GQ27" s="664"/>
      <c r="GR27" s="664"/>
      <c r="GS27" s="664"/>
      <c r="GT27" s="664"/>
      <c r="GU27" s="140"/>
      <c r="GV27" s="140"/>
      <c r="GW27" s="111"/>
      <c r="GX27" s="30"/>
      <c r="GY27" s="664"/>
      <c r="GZ27" s="664"/>
      <c r="HA27" s="664"/>
      <c r="HB27" s="664"/>
      <c r="HC27" s="140"/>
      <c r="HD27" s="140"/>
      <c r="HE27" s="111"/>
      <c r="HF27" s="30"/>
      <c r="HG27" s="664"/>
      <c r="HH27" s="664"/>
      <c r="HI27" s="664"/>
      <c r="HJ27" s="664"/>
      <c r="HK27" s="140"/>
      <c r="HL27" s="140"/>
      <c r="HM27" s="111"/>
      <c r="HN27" s="30"/>
      <c r="HO27" s="664"/>
      <c r="HP27" s="664"/>
      <c r="HQ27" s="664"/>
      <c r="HR27" s="664"/>
      <c r="HS27" s="140"/>
      <c r="HT27" s="140"/>
      <c r="HU27" s="111"/>
      <c r="HV27" s="30"/>
      <c r="HW27" s="664"/>
      <c r="HX27" s="664"/>
      <c r="HY27" s="664"/>
      <c r="HZ27" s="664"/>
      <c r="IA27" s="140"/>
      <c r="IB27" s="140"/>
      <c r="IC27" s="111"/>
      <c r="ID27" s="30"/>
      <c r="IE27" s="664"/>
      <c r="IF27" s="664"/>
      <c r="IG27" s="664"/>
      <c r="IH27" s="664"/>
      <c r="II27" s="140"/>
      <c r="IJ27" s="140"/>
      <c r="IK27" s="111"/>
      <c r="IL27" s="30"/>
      <c r="IM27" s="664"/>
      <c r="IN27" s="664"/>
      <c r="IO27" s="664"/>
      <c r="IP27" s="664"/>
      <c r="IQ27" s="140"/>
    </row>
    <row r="28" spans="1:251" s="29" customFormat="1" ht="12.95" customHeight="1" x14ac:dyDescent="0.2">
      <c r="A28" s="57" t="s">
        <v>318</v>
      </c>
      <c r="B28" s="553" t="s">
        <v>498</v>
      </c>
      <c r="C28" s="553"/>
      <c r="D28" s="661" t="s">
        <v>620</v>
      </c>
      <c r="E28" s="661"/>
      <c r="F28" s="661"/>
      <c r="G28" s="58">
        <f>SUM(I28-(I28*Capa!$C$1))</f>
        <v>29.98</v>
      </c>
      <c r="I28" s="379">
        <v>29.98</v>
      </c>
      <c r="J28" s="140"/>
      <c r="K28" s="140"/>
    </row>
    <row r="29" spans="1:251" s="29" customFormat="1" ht="12.95" customHeight="1" x14ac:dyDescent="0.2">
      <c r="A29" s="316" t="s">
        <v>514</v>
      </c>
      <c r="B29" s="552" t="s">
        <v>635</v>
      </c>
      <c r="C29" s="552"/>
      <c r="D29" s="671" t="s">
        <v>322</v>
      </c>
      <c r="E29" s="671"/>
      <c r="F29" s="671"/>
      <c r="G29" s="244">
        <f>SUM(I29-(I29*Capa!$C$1))</f>
        <v>11.5</v>
      </c>
      <c r="I29" s="382">
        <v>11.5</v>
      </c>
      <c r="J29" s="111"/>
      <c r="K29" s="111"/>
    </row>
    <row r="30" spans="1:251" s="29" customFormat="1" ht="12.95" customHeight="1" x14ac:dyDescent="0.2">
      <c r="A30" s="57" t="s">
        <v>626</v>
      </c>
      <c r="B30" s="553" t="s">
        <v>627</v>
      </c>
      <c r="C30" s="553"/>
      <c r="D30" s="661" t="s">
        <v>322</v>
      </c>
      <c r="E30" s="661"/>
      <c r="F30" s="661"/>
      <c r="G30" s="58">
        <f>SUM(I30-(I30*Capa!$C$1))</f>
        <v>9.66</v>
      </c>
      <c r="I30" s="379">
        <v>9.66</v>
      </c>
      <c r="J30" s="111"/>
      <c r="K30" s="111"/>
    </row>
    <row r="31" spans="1:251" s="29" customFormat="1" ht="12.95" customHeight="1" x14ac:dyDescent="0.2">
      <c r="A31" s="316" t="s">
        <v>283</v>
      </c>
      <c r="B31" s="552" t="s">
        <v>370</v>
      </c>
      <c r="C31" s="552"/>
      <c r="D31" s="671" t="s">
        <v>588</v>
      </c>
      <c r="E31" s="671"/>
      <c r="F31" s="671"/>
      <c r="G31" s="244">
        <f>SUM(I31-(I31*Capa!$C$1))</f>
        <v>29.36</v>
      </c>
      <c r="I31" s="382">
        <v>29.36</v>
      </c>
      <c r="J31" s="111"/>
      <c r="K31" s="111"/>
    </row>
    <row r="32" spans="1:251" s="29" customFormat="1" ht="12.95" customHeight="1" x14ac:dyDescent="0.2">
      <c r="A32" s="57" t="s">
        <v>315</v>
      </c>
      <c r="B32" s="553" t="s">
        <v>371</v>
      </c>
      <c r="C32" s="553"/>
      <c r="D32" s="661" t="s">
        <v>322</v>
      </c>
      <c r="E32" s="661"/>
      <c r="F32" s="661"/>
      <c r="G32" s="58">
        <f>SUM(I32-(I32*Capa!$C$1))</f>
        <v>45.23</v>
      </c>
      <c r="I32" s="379">
        <v>45.23</v>
      </c>
      <c r="J32" s="111"/>
      <c r="K32" s="111"/>
    </row>
    <row r="33" spans="1:251" s="29" customFormat="1" ht="12.95" customHeight="1" thickBot="1" x14ac:dyDescent="0.25">
      <c r="A33" s="316" t="s">
        <v>374</v>
      </c>
      <c r="B33" s="552" t="s">
        <v>375</v>
      </c>
      <c r="C33" s="552"/>
      <c r="D33" s="668" t="s">
        <v>649</v>
      </c>
      <c r="E33" s="668"/>
      <c r="F33" s="668"/>
      <c r="G33" s="244">
        <f>Trilhos!E20</f>
        <v>1.32</v>
      </c>
      <c r="I33" s="370" t="s">
        <v>139</v>
      </c>
      <c r="J33" s="140"/>
      <c r="K33" s="140"/>
    </row>
    <row r="34" spans="1:251" s="23" customFormat="1" ht="24.95" customHeight="1" thickBot="1" x14ac:dyDescent="0.25">
      <c r="A34" s="625" t="s">
        <v>154</v>
      </c>
      <c r="B34" s="626"/>
      <c r="C34" s="626"/>
      <c r="D34" s="626"/>
      <c r="E34" s="626"/>
      <c r="F34" s="626"/>
      <c r="G34" s="627"/>
      <c r="I34" s="163"/>
    </row>
    <row r="35" spans="1:251" s="30" customFormat="1" ht="14.1" customHeight="1" x14ac:dyDescent="0.2">
      <c r="A35" s="300" t="s">
        <v>113</v>
      </c>
      <c r="B35" s="583" t="s">
        <v>114</v>
      </c>
      <c r="C35" s="583"/>
      <c r="D35" s="583" t="s">
        <v>74</v>
      </c>
      <c r="E35" s="583"/>
      <c r="F35" s="583"/>
      <c r="G35" s="301" t="s">
        <v>117</v>
      </c>
      <c r="I35" s="364" t="s">
        <v>117</v>
      </c>
    </row>
    <row r="36" spans="1:251" s="29" customFormat="1" ht="12.75" customHeight="1" x14ac:dyDescent="0.2">
      <c r="A36" s="57" t="s">
        <v>633</v>
      </c>
      <c r="B36" s="553" t="s">
        <v>634</v>
      </c>
      <c r="C36" s="553"/>
      <c r="D36" s="669" t="s">
        <v>630</v>
      </c>
      <c r="E36" s="669"/>
      <c r="F36" s="669"/>
      <c r="G36" s="58">
        <f>SUM(I36-(I36*Capa!$C$1))</f>
        <v>4.43</v>
      </c>
      <c r="I36" s="368">
        <v>4.43</v>
      </c>
      <c r="J36" s="111"/>
      <c r="K36" s="111"/>
      <c r="L36" s="140"/>
      <c r="M36" s="111"/>
      <c r="N36" s="30"/>
      <c r="O36" s="664"/>
      <c r="P36" s="664"/>
      <c r="Q36" s="664"/>
      <c r="R36" s="664"/>
      <c r="S36" s="140"/>
      <c r="T36" s="140"/>
      <c r="U36" s="111"/>
      <c r="V36" s="30"/>
      <c r="W36" s="664"/>
      <c r="X36" s="664"/>
      <c r="Y36" s="664"/>
      <c r="Z36" s="664"/>
      <c r="AA36" s="140"/>
      <c r="AB36" s="140"/>
      <c r="AC36" s="111"/>
      <c r="AD36" s="30"/>
      <c r="AE36" s="664"/>
      <c r="AF36" s="664"/>
      <c r="AG36" s="664"/>
      <c r="AH36" s="664"/>
      <c r="AI36" s="140"/>
      <c r="AJ36" s="140"/>
      <c r="AK36" s="111"/>
      <c r="AL36" s="30"/>
      <c r="AM36" s="664"/>
      <c r="AN36" s="664"/>
      <c r="AO36" s="664"/>
      <c r="AP36" s="664"/>
      <c r="AQ36" s="140"/>
      <c r="AR36" s="140"/>
      <c r="AS36" s="111"/>
      <c r="AT36" s="30"/>
      <c r="AU36" s="664"/>
      <c r="AV36" s="664"/>
      <c r="AW36" s="664"/>
      <c r="AX36" s="664"/>
      <c r="AY36" s="140"/>
      <c r="AZ36" s="140"/>
      <c r="BA36" s="111"/>
      <c r="BB36" s="30"/>
      <c r="BC36" s="664"/>
      <c r="BD36" s="664"/>
      <c r="BE36" s="664"/>
      <c r="BF36" s="664"/>
      <c r="BG36" s="140"/>
      <c r="BH36" s="140"/>
      <c r="BI36" s="111"/>
      <c r="BJ36" s="30"/>
      <c r="BK36" s="664"/>
      <c r="BL36" s="664"/>
      <c r="BM36" s="664"/>
      <c r="BN36" s="664"/>
      <c r="BO36" s="140"/>
      <c r="BP36" s="140"/>
      <c r="BQ36" s="111"/>
      <c r="BR36" s="30"/>
      <c r="BS36" s="664"/>
      <c r="BT36" s="664"/>
      <c r="BU36" s="664"/>
      <c r="BV36" s="664"/>
      <c r="BW36" s="140"/>
      <c r="BX36" s="140"/>
      <c r="BY36" s="111"/>
      <c r="BZ36" s="30"/>
      <c r="CA36" s="664"/>
      <c r="CB36" s="664"/>
      <c r="CC36" s="664"/>
      <c r="CD36" s="664"/>
      <c r="CE36" s="140"/>
      <c r="CF36" s="140"/>
      <c r="CG36" s="111"/>
      <c r="CH36" s="30"/>
      <c r="CI36" s="664"/>
      <c r="CJ36" s="664"/>
      <c r="CK36" s="664"/>
      <c r="CL36" s="664"/>
      <c r="CM36" s="140"/>
      <c r="CN36" s="140"/>
      <c r="CO36" s="111"/>
      <c r="CP36" s="30"/>
      <c r="CQ36" s="664"/>
      <c r="CR36" s="664"/>
      <c r="CS36" s="664"/>
      <c r="CT36" s="664"/>
      <c r="CU36" s="140"/>
      <c r="CV36" s="140"/>
      <c r="CW36" s="111"/>
      <c r="CX36" s="30"/>
      <c r="CY36" s="664"/>
      <c r="CZ36" s="664"/>
      <c r="DA36" s="664"/>
      <c r="DB36" s="664"/>
      <c r="DC36" s="140"/>
      <c r="DD36" s="140"/>
      <c r="DE36" s="111"/>
      <c r="DF36" s="30"/>
      <c r="DG36" s="664"/>
      <c r="DH36" s="664"/>
      <c r="DI36" s="664"/>
      <c r="DJ36" s="664"/>
      <c r="DK36" s="140"/>
      <c r="DL36" s="140"/>
      <c r="DM36" s="111"/>
      <c r="DN36" s="30"/>
      <c r="DO36" s="664"/>
      <c r="DP36" s="664"/>
      <c r="DQ36" s="664"/>
      <c r="DR36" s="664"/>
      <c r="DS36" s="140"/>
      <c r="DT36" s="140"/>
      <c r="DU36" s="111"/>
      <c r="DV36" s="30"/>
      <c r="DW36" s="664"/>
      <c r="DX36" s="664"/>
      <c r="DY36" s="664"/>
      <c r="DZ36" s="664"/>
      <c r="EA36" s="140"/>
      <c r="EB36" s="140"/>
      <c r="EC36" s="111"/>
      <c r="ED36" s="30"/>
      <c r="EE36" s="664"/>
      <c r="EF36" s="664"/>
      <c r="EG36" s="664"/>
      <c r="EH36" s="664"/>
      <c r="EI36" s="140"/>
      <c r="EJ36" s="140"/>
      <c r="EK36" s="111"/>
      <c r="EL36" s="30"/>
      <c r="EM36" s="664"/>
      <c r="EN36" s="664"/>
      <c r="EO36" s="664"/>
      <c r="EP36" s="664"/>
      <c r="EQ36" s="140"/>
      <c r="ER36" s="140"/>
      <c r="ES36" s="111"/>
      <c r="ET36" s="30"/>
      <c r="EU36" s="664"/>
      <c r="EV36" s="664"/>
      <c r="EW36" s="664"/>
      <c r="EX36" s="664"/>
      <c r="EY36" s="140"/>
      <c r="EZ36" s="140"/>
      <c r="FA36" s="111"/>
      <c r="FB36" s="30"/>
      <c r="FC36" s="664"/>
      <c r="FD36" s="664"/>
      <c r="FE36" s="664"/>
      <c r="FF36" s="664"/>
      <c r="FG36" s="140"/>
      <c r="FH36" s="140"/>
      <c r="FI36" s="111"/>
      <c r="FJ36" s="30"/>
      <c r="FK36" s="664"/>
      <c r="FL36" s="664"/>
      <c r="FM36" s="664"/>
      <c r="FN36" s="664"/>
      <c r="FO36" s="140"/>
      <c r="FP36" s="140"/>
      <c r="FQ36" s="111"/>
      <c r="FR36" s="30"/>
      <c r="FS36" s="664"/>
      <c r="FT36" s="664"/>
      <c r="FU36" s="664"/>
      <c r="FV36" s="664"/>
      <c r="FW36" s="140"/>
      <c r="FX36" s="140"/>
      <c r="FY36" s="111"/>
      <c r="FZ36" s="30"/>
      <c r="GA36" s="664"/>
      <c r="GB36" s="664"/>
      <c r="GC36" s="664"/>
      <c r="GD36" s="664"/>
      <c r="GE36" s="140"/>
      <c r="GF36" s="140"/>
      <c r="GG36" s="111"/>
      <c r="GH36" s="30"/>
      <c r="GI36" s="664"/>
      <c r="GJ36" s="664"/>
      <c r="GK36" s="664"/>
      <c r="GL36" s="664"/>
      <c r="GM36" s="140"/>
      <c r="GN36" s="140"/>
      <c r="GO36" s="111"/>
      <c r="GP36" s="30"/>
      <c r="GQ36" s="664"/>
      <c r="GR36" s="664"/>
      <c r="GS36" s="664"/>
      <c r="GT36" s="664"/>
      <c r="GU36" s="140"/>
      <c r="GV36" s="140"/>
      <c r="GW36" s="111"/>
      <c r="GX36" s="30"/>
      <c r="GY36" s="664"/>
      <c r="GZ36" s="664"/>
      <c r="HA36" s="664"/>
      <c r="HB36" s="664"/>
      <c r="HC36" s="140"/>
      <c r="HD36" s="140"/>
      <c r="HE36" s="111"/>
      <c r="HF36" s="30"/>
      <c r="HG36" s="664"/>
      <c r="HH36" s="664"/>
      <c r="HI36" s="664"/>
      <c r="HJ36" s="664"/>
      <c r="HK36" s="140"/>
      <c r="HL36" s="140"/>
      <c r="HM36" s="111"/>
      <c r="HN36" s="30"/>
      <c r="HO36" s="664"/>
      <c r="HP36" s="664"/>
      <c r="HQ36" s="664"/>
      <c r="HR36" s="664"/>
      <c r="HS36" s="140"/>
      <c r="HT36" s="140"/>
      <c r="HU36" s="111"/>
      <c r="HV36" s="30"/>
      <c r="HW36" s="664"/>
      <c r="HX36" s="664"/>
      <c r="HY36" s="664"/>
      <c r="HZ36" s="664"/>
      <c r="IA36" s="140"/>
      <c r="IB36" s="140"/>
      <c r="IC36" s="111"/>
      <c r="ID36" s="30"/>
      <c r="IE36" s="664"/>
      <c r="IF36" s="664"/>
      <c r="IG36" s="664"/>
      <c r="IH36" s="664"/>
      <c r="II36" s="140"/>
      <c r="IJ36" s="140"/>
      <c r="IK36" s="111"/>
      <c r="IL36" s="30"/>
      <c r="IM36" s="664"/>
      <c r="IN36" s="664"/>
      <c r="IO36" s="664"/>
      <c r="IP36" s="664"/>
      <c r="IQ36" s="140"/>
    </row>
    <row r="37" spans="1:251" s="29" customFormat="1" ht="12.75" customHeight="1" x14ac:dyDescent="0.2">
      <c r="A37" s="316" t="s">
        <v>799</v>
      </c>
      <c r="B37" s="552" t="s">
        <v>800</v>
      </c>
      <c r="C37" s="552"/>
      <c r="D37" s="670" t="s">
        <v>630</v>
      </c>
      <c r="E37" s="670"/>
      <c r="F37" s="670"/>
      <c r="G37" s="244">
        <f>SUM(I37-(I37*Capa!$C$1))</f>
        <v>3.98</v>
      </c>
      <c r="I37" s="369">
        <v>3.98</v>
      </c>
      <c r="J37" s="474"/>
    </row>
    <row r="38" spans="1:251" s="29" customFormat="1" ht="12.95" customHeight="1" x14ac:dyDescent="0.2">
      <c r="A38" s="57" t="s">
        <v>361</v>
      </c>
      <c r="B38" s="553" t="s">
        <v>495</v>
      </c>
      <c r="C38" s="553"/>
      <c r="D38" s="661" t="s">
        <v>763</v>
      </c>
      <c r="E38" s="661"/>
      <c r="F38" s="661"/>
      <c r="G38" s="58">
        <f>SUM(I38-(I38*Capa!$C$1))</f>
        <v>9.3699999999999992</v>
      </c>
      <c r="I38" s="368">
        <v>9.3699999999999992</v>
      </c>
      <c r="J38" s="140"/>
      <c r="K38" s="140"/>
      <c r="L38" s="140"/>
      <c r="M38" s="111"/>
      <c r="N38" s="30"/>
      <c r="O38" s="664"/>
      <c r="P38" s="664"/>
      <c r="Q38" s="664"/>
      <c r="R38" s="664"/>
      <c r="S38" s="140"/>
      <c r="T38" s="140"/>
      <c r="U38" s="111"/>
      <c r="V38" s="30"/>
      <c r="W38" s="664"/>
      <c r="X38" s="664"/>
      <c r="Y38" s="664"/>
      <c r="Z38" s="664"/>
      <c r="AA38" s="140"/>
      <c r="AB38" s="140"/>
      <c r="AC38" s="111"/>
      <c r="AD38" s="30"/>
      <c r="AE38" s="664"/>
      <c r="AF38" s="664"/>
      <c r="AG38" s="664"/>
      <c r="AH38" s="664"/>
      <c r="AI38" s="140"/>
      <c r="AJ38" s="140"/>
      <c r="AK38" s="111"/>
      <c r="AL38" s="30"/>
      <c r="AM38" s="664"/>
      <c r="AN38" s="664"/>
      <c r="AO38" s="664"/>
      <c r="AP38" s="664"/>
      <c r="AQ38" s="140"/>
      <c r="AR38" s="140"/>
      <c r="AS38" s="111"/>
      <c r="AT38" s="30"/>
      <c r="AU38" s="664"/>
      <c r="AV38" s="664"/>
      <c r="AW38" s="664"/>
      <c r="AX38" s="664"/>
      <c r="AY38" s="140"/>
      <c r="AZ38" s="140"/>
      <c r="BA38" s="111"/>
      <c r="BB38" s="30"/>
      <c r="BC38" s="664"/>
      <c r="BD38" s="664"/>
      <c r="BE38" s="664"/>
      <c r="BF38" s="664"/>
      <c r="BG38" s="140"/>
      <c r="BH38" s="140"/>
      <c r="BI38" s="111"/>
      <c r="BJ38" s="30"/>
      <c r="BK38" s="664"/>
      <c r="BL38" s="664"/>
      <c r="BM38" s="664"/>
      <c r="BN38" s="664"/>
      <c r="BO38" s="140"/>
      <c r="BP38" s="140"/>
      <c r="BQ38" s="111"/>
      <c r="BR38" s="30"/>
      <c r="BS38" s="664"/>
      <c r="BT38" s="664"/>
      <c r="BU38" s="664"/>
      <c r="BV38" s="664"/>
      <c r="BW38" s="140"/>
      <c r="BX38" s="140"/>
      <c r="BY38" s="111"/>
      <c r="BZ38" s="30"/>
      <c r="CA38" s="664"/>
      <c r="CB38" s="664"/>
      <c r="CC38" s="664"/>
      <c r="CD38" s="664"/>
      <c r="CE38" s="140"/>
      <c r="CF38" s="140"/>
      <c r="CG38" s="111"/>
      <c r="CH38" s="30"/>
      <c r="CI38" s="664"/>
      <c r="CJ38" s="664"/>
      <c r="CK38" s="664"/>
      <c r="CL38" s="664"/>
      <c r="CM38" s="140"/>
      <c r="CN38" s="140"/>
      <c r="CO38" s="111"/>
      <c r="CP38" s="30"/>
      <c r="CQ38" s="664"/>
      <c r="CR38" s="664"/>
      <c r="CS38" s="664"/>
      <c r="CT38" s="664"/>
      <c r="CU38" s="140"/>
      <c r="CV38" s="140"/>
      <c r="CW38" s="111"/>
      <c r="CX38" s="30"/>
      <c r="CY38" s="664"/>
      <c r="CZ38" s="664"/>
      <c r="DA38" s="664"/>
      <c r="DB38" s="664"/>
      <c r="DC38" s="140"/>
      <c r="DD38" s="140"/>
      <c r="DE38" s="111"/>
      <c r="DF38" s="30"/>
      <c r="DG38" s="664"/>
      <c r="DH38" s="664"/>
      <c r="DI38" s="664"/>
      <c r="DJ38" s="664"/>
      <c r="DK38" s="140"/>
      <c r="DL38" s="140"/>
      <c r="DM38" s="111"/>
      <c r="DN38" s="30"/>
      <c r="DO38" s="664"/>
      <c r="DP38" s="664"/>
      <c r="DQ38" s="664"/>
      <c r="DR38" s="664"/>
      <c r="DS38" s="140"/>
      <c r="DT38" s="140"/>
      <c r="DU38" s="111"/>
      <c r="DV38" s="30"/>
      <c r="DW38" s="664"/>
      <c r="DX38" s="664"/>
      <c r="DY38" s="664"/>
      <c r="DZ38" s="664"/>
      <c r="EA38" s="140"/>
      <c r="EB38" s="140"/>
      <c r="EC38" s="111"/>
      <c r="ED38" s="30"/>
      <c r="EE38" s="664"/>
      <c r="EF38" s="664"/>
      <c r="EG38" s="664"/>
      <c r="EH38" s="664"/>
      <c r="EI38" s="140"/>
      <c r="EJ38" s="140"/>
      <c r="EK38" s="111"/>
      <c r="EL38" s="30"/>
      <c r="EM38" s="664"/>
      <c r="EN38" s="664"/>
      <c r="EO38" s="664"/>
      <c r="EP38" s="664"/>
      <c r="EQ38" s="140"/>
      <c r="ER38" s="140"/>
      <c r="ES38" s="111"/>
      <c r="ET38" s="30"/>
      <c r="EU38" s="664"/>
      <c r="EV38" s="664"/>
      <c r="EW38" s="664"/>
      <c r="EX38" s="664"/>
      <c r="EY38" s="140"/>
      <c r="EZ38" s="140"/>
      <c r="FA38" s="111"/>
      <c r="FB38" s="30"/>
      <c r="FC38" s="664"/>
      <c r="FD38" s="664"/>
      <c r="FE38" s="664"/>
      <c r="FF38" s="664"/>
      <c r="FG38" s="140"/>
      <c r="FH38" s="140"/>
      <c r="FI38" s="111"/>
      <c r="FJ38" s="30"/>
      <c r="FK38" s="664"/>
      <c r="FL38" s="664"/>
      <c r="FM38" s="664"/>
      <c r="FN38" s="664"/>
      <c r="FO38" s="140"/>
      <c r="FP38" s="140"/>
      <c r="FQ38" s="111"/>
      <c r="FR38" s="30"/>
      <c r="FS38" s="664"/>
      <c r="FT38" s="664"/>
      <c r="FU38" s="664"/>
      <c r="FV38" s="664"/>
      <c r="FW38" s="140"/>
      <c r="FX38" s="140"/>
      <c r="FY38" s="111"/>
      <c r="FZ38" s="30"/>
      <c r="GA38" s="664"/>
      <c r="GB38" s="664"/>
      <c r="GC38" s="664"/>
      <c r="GD38" s="664"/>
      <c r="GE38" s="140"/>
      <c r="GF38" s="140"/>
      <c r="GG38" s="111"/>
      <c r="GH38" s="30"/>
      <c r="GI38" s="664"/>
      <c r="GJ38" s="664"/>
      <c r="GK38" s="664"/>
      <c r="GL38" s="664"/>
      <c r="GM38" s="140"/>
      <c r="GN38" s="140"/>
      <c r="GO38" s="111"/>
      <c r="GP38" s="30"/>
      <c r="GQ38" s="664"/>
      <c r="GR38" s="664"/>
      <c r="GS38" s="664"/>
      <c r="GT38" s="664"/>
      <c r="GU38" s="140"/>
      <c r="GV38" s="140"/>
      <c r="GW38" s="111"/>
      <c r="GX38" s="30"/>
      <c r="GY38" s="664"/>
      <c r="GZ38" s="664"/>
      <c r="HA38" s="664"/>
      <c r="HB38" s="664"/>
      <c r="HC38" s="140"/>
      <c r="HD38" s="140"/>
      <c r="HE38" s="111"/>
      <c r="HF38" s="30"/>
      <c r="HG38" s="664"/>
      <c r="HH38" s="664"/>
      <c r="HI38" s="664"/>
      <c r="HJ38" s="664"/>
      <c r="HK38" s="140"/>
      <c r="HL38" s="140"/>
      <c r="HM38" s="111"/>
      <c r="HN38" s="30"/>
      <c r="HO38" s="664"/>
      <c r="HP38" s="664"/>
      <c r="HQ38" s="664"/>
      <c r="HR38" s="664"/>
      <c r="HS38" s="140"/>
      <c r="HT38" s="140"/>
      <c r="HU38" s="111"/>
      <c r="HV38" s="30"/>
      <c r="HW38" s="664"/>
      <c r="HX38" s="664"/>
      <c r="HY38" s="664"/>
      <c r="HZ38" s="664"/>
      <c r="IA38" s="140"/>
      <c r="IB38" s="140"/>
      <c r="IC38" s="111"/>
      <c r="ID38" s="30"/>
      <c r="IE38" s="664"/>
      <c r="IF38" s="664"/>
      <c r="IG38" s="664"/>
      <c r="IH38" s="664"/>
      <c r="II38" s="140"/>
      <c r="IJ38" s="140"/>
      <c r="IK38" s="111"/>
      <c r="IL38" s="30"/>
      <c r="IM38" s="664"/>
      <c r="IN38" s="664"/>
      <c r="IO38" s="664"/>
      <c r="IP38" s="664"/>
      <c r="IQ38" s="140"/>
    </row>
    <row r="39" spans="1:251" s="29" customFormat="1" ht="12.95" customHeight="1" thickBot="1" x14ac:dyDescent="0.25">
      <c r="A39" s="316" t="s">
        <v>539</v>
      </c>
      <c r="B39" s="552" t="s">
        <v>540</v>
      </c>
      <c r="C39" s="552"/>
      <c r="D39" s="670" t="s">
        <v>649</v>
      </c>
      <c r="E39" s="670"/>
      <c r="F39" s="670"/>
      <c r="G39" s="244">
        <f>Trilhos!D42</f>
        <v>1.49</v>
      </c>
      <c r="I39" s="479" t="s">
        <v>139</v>
      </c>
      <c r="J39" s="111"/>
      <c r="K39" s="111"/>
      <c r="L39" s="140"/>
      <c r="M39" s="111"/>
      <c r="N39" s="30"/>
      <c r="O39" s="664"/>
      <c r="P39" s="664"/>
      <c r="Q39" s="664"/>
      <c r="R39" s="664"/>
      <c r="S39" s="140"/>
      <c r="T39" s="140"/>
      <c r="U39" s="111"/>
      <c r="V39" s="30"/>
      <c r="W39" s="664"/>
      <c r="X39" s="664"/>
      <c r="Y39" s="664"/>
      <c r="Z39" s="664"/>
      <c r="AA39" s="140"/>
      <c r="AB39" s="140"/>
      <c r="AC39" s="111"/>
      <c r="AD39" s="30"/>
      <c r="AE39" s="664"/>
      <c r="AF39" s="664"/>
      <c r="AG39" s="664"/>
      <c r="AH39" s="664"/>
      <c r="AI39" s="140"/>
      <c r="AJ39" s="140"/>
      <c r="AK39" s="111"/>
      <c r="AL39" s="30"/>
      <c r="AM39" s="664"/>
      <c r="AN39" s="664"/>
      <c r="AO39" s="664"/>
      <c r="AP39" s="664"/>
      <c r="AQ39" s="140"/>
      <c r="AR39" s="140"/>
      <c r="AS39" s="111"/>
      <c r="AT39" s="30"/>
      <c r="AU39" s="664"/>
      <c r="AV39" s="664"/>
      <c r="AW39" s="664"/>
      <c r="AX39" s="664"/>
      <c r="AY39" s="140"/>
      <c r="AZ39" s="140"/>
      <c r="BA39" s="111"/>
      <c r="BB39" s="30"/>
      <c r="BC39" s="664"/>
      <c r="BD39" s="664"/>
      <c r="BE39" s="664"/>
      <c r="BF39" s="664"/>
      <c r="BG39" s="140"/>
      <c r="BH39" s="140"/>
      <c r="BI39" s="111"/>
      <c r="BJ39" s="30"/>
      <c r="BK39" s="664"/>
      <c r="BL39" s="664"/>
      <c r="BM39" s="664"/>
      <c r="BN39" s="664"/>
      <c r="BO39" s="140"/>
      <c r="BP39" s="140"/>
      <c r="BQ39" s="111"/>
      <c r="BR39" s="30"/>
      <c r="BS39" s="664"/>
      <c r="BT39" s="664"/>
      <c r="BU39" s="664"/>
      <c r="BV39" s="664"/>
      <c r="BW39" s="140"/>
      <c r="BX39" s="140"/>
      <c r="BY39" s="111"/>
      <c r="BZ39" s="30"/>
      <c r="CA39" s="664"/>
      <c r="CB39" s="664"/>
      <c r="CC39" s="664"/>
      <c r="CD39" s="664"/>
      <c r="CE39" s="140"/>
      <c r="CF39" s="140"/>
      <c r="CG39" s="111"/>
      <c r="CH39" s="30"/>
      <c r="CI39" s="664"/>
      <c r="CJ39" s="664"/>
      <c r="CK39" s="664"/>
      <c r="CL39" s="664"/>
      <c r="CM39" s="140"/>
      <c r="CN39" s="140"/>
      <c r="CO39" s="111"/>
      <c r="CP39" s="30"/>
      <c r="CQ39" s="664"/>
      <c r="CR39" s="664"/>
      <c r="CS39" s="664"/>
      <c r="CT39" s="664"/>
      <c r="CU39" s="140"/>
      <c r="CV39" s="140"/>
      <c r="CW39" s="111"/>
      <c r="CX39" s="30"/>
      <c r="CY39" s="664"/>
      <c r="CZ39" s="664"/>
      <c r="DA39" s="664"/>
      <c r="DB39" s="664"/>
      <c r="DC39" s="140"/>
      <c r="DD39" s="140"/>
      <c r="DE39" s="111"/>
      <c r="DF39" s="30"/>
      <c r="DG39" s="664"/>
      <c r="DH39" s="664"/>
      <c r="DI39" s="664"/>
      <c r="DJ39" s="664"/>
      <c r="DK39" s="140"/>
      <c r="DL39" s="140"/>
      <c r="DM39" s="111"/>
      <c r="DN39" s="30"/>
      <c r="DO39" s="664"/>
      <c r="DP39" s="664"/>
      <c r="DQ39" s="664"/>
      <c r="DR39" s="664"/>
      <c r="DS39" s="140"/>
      <c r="DT39" s="140"/>
      <c r="DU39" s="111"/>
      <c r="DV39" s="30"/>
      <c r="DW39" s="664"/>
      <c r="DX39" s="664"/>
      <c r="DY39" s="664"/>
      <c r="DZ39" s="664"/>
      <c r="EA39" s="140"/>
      <c r="EB39" s="140"/>
      <c r="EC39" s="111"/>
      <c r="ED39" s="30"/>
      <c r="EE39" s="664"/>
      <c r="EF39" s="664"/>
      <c r="EG39" s="664"/>
      <c r="EH39" s="664"/>
      <c r="EI39" s="140"/>
      <c r="EJ39" s="140"/>
      <c r="EK39" s="111"/>
      <c r="EL39" s="30"/>
      <c r="EM39" s="664"/>
      <c r="EN39" s="664"/>
      <c r="EO39" s="664"/>
      <c r="EP39" s="664"/>
      <c r="EQ39" s="140"/>
      <c r="ER39" s="140"/>
      <c r="ES39" s="111"/>
      <c r="ET39" s="30"/>
      <c r="EU39" s="664"/>
      <c r="EV39" s="664"/>
      <c r="EW39" s="664"/>
      <c r="EX39" s="664"/>
      <c r="EY39" s="140"/>
      <c r="EZ39" s="140"/>
      <c r="FA39" s="111"/>
      <c r="FB39" s="30"/>
      <c r="FC39" s="664"/>
      <c r="FD39" s="664"/>
      <c r="FE39" s="664"/>
      <c r="FF39" s="664"/>
      <c r="FG39" s="140"/>
      <c r="FH39" s="140"/>
      <c r="FI39" s="111"/>
      <c r="FJ39" s="30"/>
      <c r="FK39" s="664"/>
      <c r="FL39" s="664"/>
      <c r="FM39" s="664"/>
      <c r="FN39" s="664"/>
      <c r="FO39" s="140"/>
      <c r="FP39" s="140"/>
      <c r="FQ39" s="111"/>
      <c r="FR39" s="30"/>
      <c r="FS39" s="664"/>
      <c r="FT39" s="664"/>
      <c r="FU39" s="664"/>
      <c r="FV39" s="664"/>
      <c r="FW39" s="140"/>
      <c r="FX39" s="140"/>
      <c r="FY39" s="111"/>
      <c r="FZ39" s="30"/>
      <c r="GA39" s="664"/>
      <c r="GB39" s="664"/>
      <c r="GC39" s="664"/>
      <c r="GD39" s="664"/>
      <c r="GE39" s="140"/>
      <c r="GF39" s="140"/>
      <c r="GG39" s="111"/>
      <c r="GH39" s="30"/>
      <c r="GI39" s="664"/>
      <c r="GJ39" s="664"/>
      <c r="GK39" s="664"/>
      <c r="GL39" s="664"/>
      <c r="GM39" s="140"/>
      <c r="GN39" s="140"/>
      <c r="GO39" s="111"/>
      <c r="GP39" s="30"/>
      <c r="GQ39" s="664"/>
      <c r="GR39" s="664"/>
      <c r="GS39" s="664"/>
      <c r="GT39" s="664"/>
      <c r="GU39" s="140"/>
      <c r="GV39" s="140"/>
      <c r="GW39" s="111"/>
      <c r="GX39" s="30"/>
      <c r="GY39" s="664"/>
      <c r="GZ39" s="664"/>
      <c r="HA39" s="664"/>
      <c r="HB39" s="664"/>
      <c r="HC39" s="140"/>
      <c r="HD39" s="140"/>
      <c r="HE39" s="111"/>
      <c r="HF39" s="30"/>
      <c r="HG39" s="664"/>
      <c r="HH39" s="664"/>
      <c r="HI39" s="664"/>
      <c r="HJ39" s="664"/>
      <c r="HK39" s="140"/>
      <c r="HL39" s="140"/>
      <c r="HM39" s="111"/>
      <c r="HN39" s="30"/>
      <c r="HO39" s="664"/>
      <c r="HP39" s="664"/>
      <c r="HQ39" s="664"/>
      <c r="HR39" s="664"/>
      <c r="HS39" s="140"/>
      <c r="HT39" s="140"/>
      <c r="HU39" s="111"/>
      <c r="HV39" s="30"/>
      <c r="HW39" s="664"/>
      <c r="HX39" s="664"/>
      <c r="HY39" s="664"/>
      <c r="HZ39" s="664"/>
      <c r="IA39" s="140"/>
      <c r="IB39" s="140"/>
      <c r="IC39" s="111"/>
      <c r="ID39" s="30"/>
      <c r="IE39" s="664"/>
      <c r="IF39" s="664"/>
      <c r="IG39" s="664"/>
      <c r="IH39" s="664"/>
      <c r="II39" s="140"/>
      <c r="IJ39" s="140"/>
      <c r="IK39" s="111"/>
      <c r="IL39" s="30"/>
      <c r="IM39" s="664"/>
      <c r="IN39" s="664"/>
      <c r="IO39" s="664"/>
      <c r="IP39" s="664"/>
      <c r="IQ39" s="140"/>
    </row>
    <row r="40" spans="1:251" s="23" customFormat="1" ht="24.95" customHeight="1" thickBot="1" x14ac:dyDescent="0.25">
      <c r="A40" s="625" t="s">
        <v>729</v>
      </c>
      <c r="B40" s="626"/>
      <c r="C40" s="626"/>
      <c r="D40" s="626"/>
      <c r="E40" s="626"/>
      <c r="F40" s="626"/>
      <c r="G40" s="627"/>
      <c r="I40" s="163"/>
    </row>
    <row r="41" spans="1:251" s="30" customFormat="1" ht="14.1" customHeight="1" x14ac:dyDescent="0.2">
      <c r="A41" s="300" t="s">
        <v>113</v>
      </c>
      <c r="B41" s="583" t="s">
        <v>114</v>
      </c>
      <c r="C41" s="583"/>
      <c r="D41" s="583"/>
      <c r="E41" s="583"/>
      <c r="F41" s="583"/>
      <c r="G41" s="301" t="s">
        <v>117</v>
      </c>
      <c r="I41" s="364" t="s">
        <v>117</v>
      </c>
    </row>
    <row r="42" spans="1:251" s="29" customFormat="1" ht="12.95" customHeight="1" x14ac:dyDescent="0.2">
      <c r="A42" s="57" t="s">
        <v>442</v>
      </c>
      <c r="B42" s="553" t="s">
        <v>648</v>
      </c>
      <c r="C42" s="553"/>
      <c r="D42" s="553"/>
      <c r="E42" s="553"/>
      <c r="F42" s="553"/>
      <c r="G42" s="58">
        <f>SUM(I42-(I42*Capa!$C$1))</f>
        <v>16.96</v>
      </c>
      <c r="I42" s="365">
        <v>16.96</v>
      </c>
    </row>
    <row r="43" spans="1:251" s="29" customFormat="1" ht="12.95" customHeight="1" thickBot="1" x14ac:dyDescent="0.25">
      <c r="A43" s="316" t="s">
        <v>642</v>
      </c>
      <c r="B43" s="552" t="s">
        <v>643</v>
      </c>
      <c r="C43" s="552"/>
      <c r="D43" s="552"/>
      <c r="E43" s="552"/>
      <c r="F43" s="552"/>
      <c r="G43" s="244">
        <f>SUM(I43-(I43*Capa!$C$1))</f>
        <v>27.92</v>
      </c>
      <c r="I43" s="371">
        <v>27.92</v>
      </c>
    </row>
    <row r="44" spans="1:251" s="23" customFormat="1" ht="24.95" customHeight="1" thickBot="1" x14ac:dyDescent="0.25">
      <c r="A44" s="625" t="s">
        <v>644</v>
      </c>
      <c r="B44" s="626"/>
      <c r="C44" s="626"/>
      <c r="D44" s="626"/>
      <c r="E44" s="626"/>
      <c r="F44" s="626"/>
      <c r="G44" s="627"/>
      <c r="I44" s="372"/>
      <c r="J44" s="134"/>
    </row>
    <row r="45" spans="1:251" s="30" customFormat="1" ht="14.1" customHeight="1" thickBot="1" x14ac:dyDescent="0.25">
      <c r="A45" s="300" t="s">
        <v>113</v>
      </c>
      <c r="B45" s="583" t="s">
        <v>114</v>
      </c>
      <c r="C45" s="583"/>
      <c r="D45" s="583" t="s">
        <v>74</v>
      </c>
      <c r="E45" s="583"/>
      <c r="F45" s="459" t="s">
        <v>450</v>
      </c>
      <c r="G45" s="317" t="s">
        <v>656</v>
      </c>
      <c r="I45" s="373" t="s">
        <v>450</v>
      </c>
      <c r="J45" s="318" t="s">
        <v>98</v>
      </c>
    </row>
    <row r="46" spans="1:251" s="29" customFormat="1" ht="12.95" customHeight="1" x14ac:dyDescent="0.2">
      <c r="A46" s="57" t="s">
        <v>645</v>
      </c>
      <c r="B46" s="553" t="s">
        <v>1057</v>
      </c>
      <c r="C46" s="553"/>
      <c r="D46" s="661" t="s">
        <v>646</v>
      </c>
      <c r="E46" s="661"/>
      <c r="F46" s="175">
        <f>SUM(I46-(I46*Capa!$C$1))</f>
        <v>7.85</v>
      </c>
      <c r="G46" s="58">
        <f>SUM(J46-(J46*Capa!$C$1))</f>
        <v>329.7</v>
      </c>
      <c r="I46" s="374">
        <v>7.85</v>
      </c>
      <c r="J46" s="114">
        <v>329.7</v>
      </c>
    </row>
    <row r="47" spans="1:251" s="29" customFormat="1" ht="12.95" customHeight="1" x14ac:dyDescent="0.2">
      <c r="A47" s="316" t="s">
        <v>364</v>
      </c>
      <c r="B47" s="552" t="s">
        <v>503</v>
      </c>
      <c r="C47" s="552"/>
      <c r="D47" s="668" t="s">
        <v>762</v>
      </c>
      <c r="E47" s="668"/>
      <c r="F47" s="242">
        <f>SUM(I47-(I47*Capa!$C$1))</f>
        <v>6.97</v>
      </c>
      <c r="G47" s="244">
        <f>SUM(J47-(J47*Capa!$C$1))</f>
        <v>249.5</v>
      </c>
      <c r="I47" s="375">
        <v>6.97</v>
      </c>
      <c r="J47" s="169">
        <v>249.5</v>
      </c>
    </row>
    <row r="48" spans="1:251" s="29" customFormat="1" ht="12.95" customHeight="1" x14ac:dyDescent="0.2">
      <c r="A48" s="57" t="s">
        <v>365</v>
      </c>
      <c r="B48" s="553" t="s">
        <v>504</v>
      </c>
      <c r="C48" s="553"/>
      <c r="D48" s="661" t="s">
        <v>762</v>
      </c>
      <c r="E48" s="661"/>
      <c r="F48" s="175">
        <f>SUM(I48-(I48*Capa!$C$1))</f>
        <v>6.97</v>
      </c>
      <c r="G48" s="58">
        <f>SUM(J48-(J48*Capa!$C$1))</f>
        <v>249.5</v>
      </c>
      <c r="I48" s="376">
        <v>6.97</v>
      </c>
      <c r="J48" s="136">
        <v>249.5</v>
      </c>
    </row>
    <row r="49" spans="1:10" s="29" customFormat="1" ht="12.95" customHeight="1" x14ac:dyDescent="0.2">
      <c r="A49" s="316" t="s">
        <v>366</v>
      </c>
      <c r="B49" s="552" t="s">
        <v>505</v>
      </c>
      <c r="C49" s="552"/>
      <c r="D49" s="668" t="s">
        <v>762</v>
      </c>
      <c r="E49" s="668"/>
      <c r="F49" s="242">
        <f>SUM(I49-(I49*Capa!$C$1))</f>
        <v>6.97</v>
      </c>
      <c r="G49" s="244">
        <f>SUM(J49-(J49*Capa!$C$1))</f>
        <v>249.5</v>
      </c>
      <c r="I49" s="375">
        <v>6.97</v>
      </c>
      <c r="J49" s="169">
        <v>249.5</v>
      </c>
    </row>
    <row r="50" spans="1:10" s="29" customFormat="1" ht="12.95" customHeight="1" x14ac:dyDescent="0.2">
      <c r="A50" s="57" t="s">
        <v>367</v>
      </c>
      <c r="B50" s="553" t="s">
        <v>506</v>
      </c>
      <c r="C50" s="553"/>
      <c r="D50" s="661" t="s">
        <v>762</v>
      </c>
      <c r="E50" s="661"/>
      <c r="F50" s="175">
        <f>SUM(I50-(I50*Capa!$C$1))</f>
        <v>6.97</v>
      </c>
      <c r="G50" s="58">
        <f>SUM(J50-(J50*Capa!$C$1))</f>
        <v>249.5</v>
      </c>
      <c r="I50" s="376">
        <v>6.97</v>
      </c>
      <c r="J50" s="136">
        <v>249.5</v>
      </c>
    </row>
    <row r="51" spans="1:10" s="29" customFormat="1" ht="12.95" customHeight="1" thickBot="1" x14ac:dyDescent="0.25">
      <c r="A51" s="316" t="s">
        <v>368</v>
      </c>
      <c r="B51" s="552" t="s">
        <v>507</v>
      </c>
      <c r="C51" s="552"/>
      <c r="D51" s="668" t="s">
        <v>762</v>
      </c>
      <c r="E51" s="668"/>
      <c r="F51" s="242">
        <f>SUM(I51-(I51*Capa!$C$1))</f>
        <v>6.97</v>
      </c>
      <c r="G51" s="244">
        <f>SUM(J51-(J51*Capa!$C$1))</f>
        <v>249.5</v>
      </c>
      <c r="I51" s="377">
        <v>6.97</v>
      </c>
      <c r="J51" s="291">
        <v>249.5</v>
      </c>
    </row>
    <row r="52" spans="1:10" s="23" customFormat="1" ht="24.95" customHeight="1" thickBot="1" x14ac:dyDescent="0.25">
      <c r="A52" s="625" t="s">
        <v>639</v>
      </c>
      <c r="B52" s="626"/>
      <c r="C52" s="626"/>
      <c r="D52" s="626"/>
      <c r="E52" s="626"/>
      <c r="F52" s="626"/>
      <c r="G52" s="627"/>
      <c r="I52" s="372"/>
      <c r="J52" s="134"/>
    </row>
    <row r="53" spans="1:10" s="30" customFormat="1" ht="14.1" customHeight="1" x14ac:dyDescent="0.2">
      <c r="A53" s="300" t="s">
        <v>113</v>
      </c>
      <c r="B53" s="583" t="s">
        <v>114</v>
      </c>
      <c r="C53" s="583"/>
      <c r="D53" s="583" t="s">
        <v>74</v>
      </c>
      <c r="E53" s="583"/>
      <c r="F53" s="459" t="s">
        <v>450</v>
      </c>
      <c r="G53" s="317" t="s">
        <v>657</v>
      </c>
      <c r="I53" s="378" t="s">
        <v>450</v>
      </c>
      <c r="J53" s="472" t="s">
        <v>657</v>
      </c>
    </row>
    <row r="54" spans="1:10" s="29" customFormat="1" ht="12.95" customHeight="1" x14ac:dyDescent="0.2">
      <c r="A54" s="57" t="s">
        <v>508</v>
      </c>
      <c r="B54" s="553" t="s">
        <v>527</v>
      </c>
      <c r="C54" s="553"/>
      <c r="D54" s="661" t="s">
        <v>16</v>
      </c>
      <c r="E54" s="661"/>
      <c r="F54" s="175">
        <f>SUM(I54-(I54*Capa!$C$1))</f>
        <v>4.74</v>
      </c>
      <c r="G54" s="58">
        <f>SUM(J54-(J54*Capa!$C$1))</f>
        <v>169</v>
      </c>
      <c r="I54" s="376">
        <v>4.74</v>
      </c>
      <c r="J54" s="137">
        <v>169</v>
      </c>
    </row>
    <row r="55" spans="1:10" s="29" customFormat="1" ht="12.95" customHeight="1" x14ac:dyDescent="0.2">
      <c r="A55" s="316" t="s">
        <v>509</v>
      </c>
      <c r="B55" s="552" t="s">
        <v>658</v>
      </c>
      <c r="C55" s="552"/>
      <c r="D55" s="668" t="s">
        <v>16</v>
      </c>
      <c r="E55" s="668"/>
      <c r="F55" s="242">
        <f>SUM(I55-(I55*Capa!$C$1))</f>
        <v>0.38</v>
      </c>
      <c r="G55" s="244">
        <f>SUM(J55-(J55*Capa!$C$1))</f>
        <v>210</v>
      </c>
      <c r="I55" s="375">
        <v>0.38</v>
      </c>
      <c r="J55" s="319">
        <v>210</v>
      </c>
    </row>
    <row r="56" spans="1:10" s="29" customFormat="1" ht="12.95" customHeight="1" x14ac:dyDescent="0.2">
      <c r="A56" s="57" t="s">
        <v>258</v>
      </c>
      <c r="B56" s="553" t="s">
        <v>487</v>
      </c>
      <c r="C56" s="553"/>
      <c r="D56" s="661" t="s">
        <v>16</v>
      </c>
      <c r="E56" s="661"/>
      <c r="F56" s="175">
        <f>SUM(I56-(I56*Capa!$C$1))</f>
        <v>15.55</v>
      </c>
      <c r="G56" s="126" t="s">
        <v>139</v>
      </c>
      <c r="I56" s="376">
        <v>15.55</v>
      </c>
      <c r="J56" s="137" t="s">
        <v>139</v>
      </c>
    </row>
    <row r="57" spans="1:10" s="29" customFormat="1" ht="12.95" customHeight="1" x14ac:dyDescent="0.2">
      <c r="A57" s="316" t="s">
        <v>319</v>
      </c>
      <c r="B57" s="552" t="s">
        <v>515</v>
      </c>
      <c r="C57" s="552"/>
      <c r="D57" s="671" t="s">
        <v>322</v>
      </c>
      <c r="E57" s="671"/>
      <c r="F57" s="242">
        <f>SUM(I57-(I57*Capa!$C$1))</f>
        <v>26.59</v>
      </c>
      <c r="G57" s="247" t="s">
        <v>139</v>
      </c>
      <c r="I57" s="375">
        <v>26.59</v>
      </c>
      <c r="J57" s="319" t="s">
        <v>139</v>
      </c>
    </row>
    <row r="58" spans="1:10" s="29" customFormat="1" ht="12.95" customHeight="1" x14ac:dyDescent="0.2">
      <c r="A58" s="57" t="s">
        <v>533</v>
      </c>
      <c r="B58" s="553" t="s">
        <v>534</v>
      </c>
      <c r="C58" s="553"/>
      <c r="D58" s="674" t="s">
        <v>139</v>
      </c>
      <c r="E58" s="674"/>
      <c r="F58" s="175">
        <f>SUM(I58-(I58*Capa!$C$1))</f>
        <v>27.4</v>
      </c>
      <c r="G58" s="126" t="s">
        <v>139</v>
      </c>
      <c r="I58" s="376">
        <v>27.4</v>
      </c>
      <c r="J58" s="137" t="s">
        <v>139</v>
      </c>
    </row>
    <row r="59" spans="1:10" s="29" customFormat="1" ht="12.95" customHeight="1" x14ac:dyDescent="0.2">
      <c r="A59" s="316" t="s">
        <v>535</v>
      </c>
      <c r="B59" s="552" t="s">
        <v>536</v>
      </c>
      <c r="C59" s="552"/>
      <c r="D59" s="673" t="s">
        <v>139</v>
      </c>
      <c r="E59" s="673"/>
      <c r="F59" s="242">
        <f>SUM(I59-(I59*Capa!$C$1))</f>
        <v>18.97</v>
      </c>
      <c r="G59" s="247" t="s">
        <v>139</v>
      </c>
      <c r="I59" s="375">
        <v>18.97</v>
      </c>
      <c r="J59" s="319" t="s">
        <v>139</v>
      </c>
    </row>
    <row r="60" spans="1:10" s="29" customFormat="1" ht="12.95" customHeight="1" x14ac:dyDescent="0.2">
      <c r="A60" s="57" t="s">
        <v>259</v>
      </c>
      <c r="B60" s="553" t="s">
        <v>587</v>
      </c>
      <c r="C60" s="553"/>
      <c r="D60" s="661" t="s">
        <v>16</v>
      </c>
      <c r="E60" s="661"/>
      <c r="F60" s="175">
        <f>SUM(I60-(I60*Capa!$C$1))</f>
        <v>0.54</v>
      </c>
      <c r="G60" s="126" t="s">
        <v>139</v>
      </c>
      <c r="I60" s="376">
        <v>0.54</v>
      </c>
      <c r="J60" s="137" t="s">
        <v>139</v>
      </c>
    </row>
    <row r="61" spans="1:10" s="29" customFormat="1" ht="12.95" customHeight="1" x14ac:dyDescent="0.2">
      <c r="A61" s="316" t="s">
        <v>460</v>
      </c>
      <c r="B61" s="552" t="s">
        <v>586</v>
      </c>
      <c r="C61" s="552"/>
      <c r="D61" s="668" t="s">
        <v>16</v>
      </c>
      <c r="E61" s="668"/>
      <c r="F61" s="242">
        <f>SUM(I61-(I61*Capa!$C$1))</f>
        <v>0.96</v>
      </c>
      <c r="G61" s="247" t="s">
        <v>139</v>
      </c>
      <c r="I61" s="375">
        <v>0.96</v>
      </c>
      <c r="J61" s="319" t="s">
        <v>139</v>
      </c>
    </row>
    <row r="62" spans="1:10" s="29" customFormat="1" ht="12.95" customHeight="1" x14ac:dyDescent="0.2">
      <c r="A62" s="57" t="s">
        <v>440</v>
      </c>
      <c r="B62" s="553" t="s">
        <v>441</v>
      </c>
      <c r="C62" s="553"/>
      <c r="D62" s="661" t="s">
        <v>301</v>
      </c>
      <c r="E62" s="661"/>
      <c r="F62" s="175">
        <f>SUM(I62-(I62*Capa!$C$1))</f>
        <v>2.35</v>
      </c>
      <c r="G62" s="126" t="s">
        <v>139</v>
      </c>
      <c r="I62" s="376">
        <v>2.35</v>
      </c>
      <c r="J62" s="137" t="s">
        <v>139</v>
      </c>
    </row>
    <row r="63" spans="1:10" s="29" customFormat="1" ht="12.95" customHeight="1" x14ac:dyDescent="0.2">
      <c r="A63" s="316" t="s">
        <v>359</v>
      </c>
      <c r="B63" s="552" t="s">
        <v>369</v>
      </c>
      <c r="C63" s="552"/>
      <c r="D63" s="668" t="s">
        <v>301</v>
      </c>
      <c r="E63" s="668"/>
      <c r="F63" s="242">
        <f>SUM(I63-(I63*Capa!$C$1))</f>
        <v>11.95</v>
      </c>
      <c r="G63" s="247" t="s">
        <v>139</v>
      </c>
      <c r="I63" s="375">
        <v>11.95</v>
      </c>
      <c r="J63" s="319" t="s">
        <v>139</v>
      </c>
    </row>
    <row r="64" spans="1:10" s="29" customFormat="1" ht="12.75" customHeight="1" x14ac:dyDescent="0.2">
      <c r="A64" s="57" t="s">
        <v>513</v>
      </c>
      <c r="B64" s="553" t="s">
        <v>512</v>
      </c>
      <c r="C64" s="553"/>
      <c r="D64" s="661" t="s">
        <v>322</v>
      </c>
      <c r="E64" s="661"/>
      <c r="F64" s="175">
        <f>SUM(I64-(I64*Capa!$C$1))</f>
        <v>19.98</v>
      </c>
      <c r="G64" s="126" t="s">
        <v>139</v>
      </c>
      <c r="I64" s="54">
        <v>19.98</v>
      </c>
      <c r="J64" s="178" t="s">
        <v>139</v>
      </c>
    </row>
    <row r="65" spans="1:14" s="29" customFormat="1" ht="12.75" customHeight="1" x14ac:dyDescent="0.2">
      <c r="A65" s="316" t="s">
        <v>537</v>
      </c>
      <c r="B65" s="552" t="s">
        <v>538</v>
      </c>
      <c r="C65" s="552"/>
      <c r="D65" s="668" t="s">
        <v>16</v>
      </c>
      <c r="E65" s="668"/>
      <c r="F65" s="242">
        <f>SUM(I65-(I65*Capa!$C$1))</f>
        <v>0.45</v>
      </c>
      <c r="G65" s="247" t="s">
        <v>139</v>
      </c>
      <c r="I65" s="375">
        <v>0.45</v>
      </c>
      <c r="J65" s="319" t="s">
        <v>139</v>
      </c>
    </row>
    <row r="66" spans="1:14" s="29" customFormat="1" ht="12.75" customHeight="1" x14ac:dyDescent="0.2">
      <c r="A66" s="57" t="s">
        <v>654</v>
      </c>
      <c r="B66" s="553" t="s">
        <v>655</v>
      </c>
      <c r="C66" s="553"/>
      <c r="D66" s="661" t="s">
        <v>649</v>
      </c>
      <c r="E66" s="661"/>
      <c r="F66" s="175">
        <f>SUM(I66-(I66*Capa!$C$1))</f>
        <v>0.18</v>
      </c>
      <c r="G66" s="58">
        <f>SUM(J66-(J66*Capa!$C$1))</f>
        <v>112.8</v>
      </c>
      <c r="I66" s="54">
        <v>0.18</v>
      </c>
      <c r="J66" s="31">
        <v>112.8</v>
      </c>
    </row>
    <row r="67" spans="1:14" s="29" customFormat="1" ht="12.75" customHeight="1" thickBot="1" x14ac:dyDescent="0.25">
      <c r="A67" s="475" t="s">
        <v>760</v>
      </c>
      <c r="B67" s="564" t="s">
        <v>761</v>
      </c>
      <c r="C67" s="564"/>
      <c r="D67" s="662" t="s">
        <v>16</v>
      </c>
      <c r="E67" s="662"/>
      <c r="F67" s="476">
        <f>SUM(I67-(I67*Capa!$C$1))</f>
        <v>9.9499999999999993</v>
      </c>
      <c r="G67" s="477" t="s">
        <v>139</v>
      </c>
      <c r="I67" s="377">
        <v>9.9499999999999993</v>
      </c>
      <c r="J67" s="478" t="s">
        <v>139</v>
      </c>
    </row>
    <row r="68" spans="1:14" x14ac:dyDescent="0.2">
      <c r="J68" s="49"/>
      <c r="K68" s="49"/>
      <c r="L68" s="49"/>
      <c r="M68" s="49"/>
      <c r="N68" s="49"/>
    </row>
    <row r="69" spans="1:14" x14ac:dyDescent="0.2">
      <c r="J69" s="49"/>
      <c r="K69" s="49"/>
      <c r="L69" s="49"/>
      <c r="M69" s="49"/>
      <c r="N69" s="49"/>
    </row>
  </sheetData>
  <sheetProtection sheet="1" objects="1" scenarios="1"/>
  <sortState xmlns:xlrd2="http://schemas.microsoft.com/office/spreadsheetml/2017/richdata2" ref="A2:J12">
    <sortCondition ref="B2:B12"/>
  </sortState>
  <mergeCells count="244">
    <mergeCell ref="B66:C66"/>
    <mergeCell ref="D66:E66"/>
    <mergeCell ref="EM27:EP27"/>
    <mergeCell ref="EU27:EX27"/>
    <mergeCell ref="FC27:FF27"/>
    <mergeCell ref="FK27:FN27"/>
    <mergeCell ref="FS27:FV27"/>
    <mergeCell ref="GA27:GD27"/>
    <mergeCell ref="GI27:GL27"/>
    <mergeCell ref="BS27:BV27"/>
    <mergeCell ref="CA27:CD27"/>
    <mergeCell ref="CI27:CL27"/>
    <mergeCell ref="CQ27:CT27"/>
    <mergeCell ref="CY27:DB27"/>
    <mergeCell ref="DG27:DJ27"/>
    <mergeCell ref="DO27:DR27"/>
    <mergeCell ref="B59:C59"/>
    <mergeCell ref="D28:F28"/>
    <mergeCell ref="O38:R38"/>
    <mergeCell ref="W38:Z38"/>
    <mergeCell ref="AU38:AX38"/>
    <mergeCell ref="BC38:BF38"/>
    <mergeCell ref="BK38:BN38"/>
    <mergeCell ref="BS38:BV38"/>
    <mergeCell ref="CA38:CD38"/>
    <mergeCell ref="CI38:CL38"/>
    <mergeCell ref="CQ38:CT38"/>
    <mergeCell ref="CY38:DB38"/>
    <mergeCell ref="DW27:DZ27"/>
    <mergeCell ref="B46:C46"/>
    <mergeCell ref="D58:E58"/>
    <mergeCell ref="B50:C50"/>
    <mergeCell ref="D39:F39"/>
    <mergeCell ref="D50:E50"/>
    <mergeCell ref="A40:G40"/>
    <mergeCell ref="B36:C36"/>
    <mergeCell ref="D36:F36"/>
    <mergeCell ref="AM38:AP38"/>
    <mergeCell ref="AM36:AP36"/>
    <mergeCell ref="AU36:AX36"/>
    <mergeCell ref="BC36:BF36"/>
    <mergeCell ref="BK36:BN36"/>
    <mergeCell ref="CI39:CL39"/>
    <mergeCell ref="CQ39:CT39"/>
    <mergeCell ref="CY39:DB39"/>
    <mergeCell ref="O39:R39"/>
    <mergeCell ref="W39:Z39"/>
    <mergeCell ref="AE39:AH39"/>
    <mergeCell ref="W27:Z27"/>
    <mergeCell ref="AE27:AH27"/>
    <mergeCell ref="AM27:AP27"/>
    <mergeCell ref="AU27:AX27"/>
    <mergeCell ref="BC27:BF27"/>
    <mergeCell ref="BK27:BN27"/>
    <mergeCell ref="D61:E61"/>
    <mergeCell ref="D62:E62"/>
    <mergeCell ref="D63:E63"/>
    <mergeCell ref="D59:E59"/>
    <mergeCell ref="D60:E60"/>
    <mergeCell ref="AE38:AH38"/>
    <mergeCell ref="A52:G52"/>
    <mergeCell ref="B39:C39"/>
    <mergeCell ref="D54:E54"/>
    <mergeCell ref="D55:E55"/>
    <mergeCell ref="B60:C60"/>
    <mergeCell ref="B57:C57"/>
    <mergeCell ref="B32:C32"/>
    <mergeCell ref="D51:E51"/>
    <mergeCell ref="D53:E53"/>
    <mergeCell ref="AM39:AP39"/>
    <mergeCell ref="AU39:AX39"/>
    <mergeCell ref="BC39:BF39"/>
    <mergeCell ref="B65:C65"/>
    <mergeCell ref="B54:C54"/>
    <mergeCell ref="O27:R27"/>
    <mergeCell ref="D64:E64"/>
    <mergeCell ref="D65:E65"/>
    <mergeCell ref="B58:C58"/>
    <mergeCell ref="B31:C31"/>
    <mergeCell ref="B49:C49"/>
    <mergeCell ref="B64:C64"/>
    <mergeCell ref="B28:C28"/>
    <mergeCell ref="D56:E56"/>
    <mergeCell ref="D57:E57"/>
    <mergeCell ref="B63:C63"/>
    <mergeCell ref="B56:C56"/>
    <mergeCell ref="B53:C53"/>
    <mergeCell ref="B55:C55"/>
    <mergeCell ref="B62:C62"/>
    <mergeCell ref="B61:C61"/>
    <mergeCell ref="A44:G44"/>
    <mergeCell ref="B45:C45"/>
    <mergeCell ref="B47:C47"/>
    <mergeCell ref="D32:F32"/>
    <mergeCell ref="B17:C17"/>
    <mergeCell ref="D3:F3"/>
    <mergeCell ref="B4:C4"/>
    <mergeCell ref="B6:C6"/>
    <mergeCell ref="B7:C7"/>
    <mergeCell ref="D20:F20"/>
    <mergeCell ref="B25:C25"/>
    <mergeCell ref="D4:F4"/>
    <mergeCell ref="B51:C51"/>
    <mergeCell ref="D45:E45"/>
    <mergeCell ref="D46:E46"/>
    <mergeCell ref="D47:E47"/>
    <mergeCell ref="D48:E48"/>
    <mergeCell ref="D49:E49"/>
    <mergeCell ref="D29:F29"/>
    <mergeCell ref="B48:C48"/>
    <mergeCell ref="B35:C35"/>
    <mergeCell ref="D35:F35"/>
    <mergeCell ref="B37:C37"/>
    <mergeCell ref="D37:F37"/>
    <mergeCell ref="B33:C33"/>
    <mergeCell ref="D33:F33"/>
    <mergeCell ref="D13:F13"/>
    <mergeCell ref="B24:C24"/>
    <mergeCell ref="D2:F2"/>
    <mergeCell ref="B2:C2"/>
    <mergeCell ref="B27:C27"/>
    <mergeCell ref="B22:C22"/>
    <mergeCell ref="B20:C20"/>
    <mergeCell ref="D27:F27"/>
    <mergeCell ref="D24:F24"/>
    <mergeCell ref="D25:F25"/>
    <mergeCell ref="D22:F22"/>
    <mergeCell ref="D23:F23"/>
    <mergeCell ref="D6:F6"/>
    <mergeCell ref="D7:F7"/>
    <mergeCell ref="B3:C3"/>
    <mergeCell ref="B12:C12"/>
    <mergeCell ref="B8:C8"/>
    <mergeCell ref="B9:C9"/>
    <mergeCell ref="B10:C10"/>
    <mergeCell ref="B11:C11"/>
    <mergeCell ref="D8:F8"/>
    <mergeCell ref="D9:F9"/>
    <mergeCell ref="D10:F10"/>
    <mergeCell ref="D11:F11"/>
    <mergeCell ref="B13:C13"/>
    <mergeCell ref="B14:C14"/>
    <mergeCell ref="GA38:GD38"/>
    <mergeCell ref="GI38:GL38"/>
    <mergeCell ref="GQ38:GT38"/>
    <mergeCell ref="GY38:HB38"/>
    <mergeCell ref="HG38:HJ38"/>
    <mergeCell ref="HO38:HR38"/>
    <mergeCell ref="A1:G1"/>
    <mergeCell ref="A16:G16"/>
    <mergeCell ref="A34:G34"/>
    <mergeCell ref="B38:C38"/>
    <mergeCell ref="D38:F38"/>
    <mergeCell ref="D14:F14"/>
    <mergeCell ref="O36:R36"/>
    <mergeCell ref="B26:C26"/>
    <mergeCell ref="B21:C21"/>
    <mergeCell ref="B29:C29"/>
    <mergeCell ref="B30:C30"/>
    <mergeCell ref="B18:C18"/>
    <mergeCell ref="B19:C19"/>
    <mergeCell ref="D12:F12"/>
    <mergeCell ref="D30:F30"/>
    <mergeCell ref="D18:F18"/>
    <mergeCell ref="D19:F19"/>
    <mergeCell ref="D31:F31"/>
    <mergeCell ref="DG38:DJ38"/>
    <mergeCell ref="DO38:DR38"/>
    <mergeCell ref="DW38:DZ38"/>
    <mergeCell ref="EE38:EH38"/>
    <mergeCell ref="EM38:EP38"/>
    <mergeCell ref="EU38:EX38"/>
    <mergeCell ref="FC38:FF38"/>
    <mergeCell ref="FK38:FN38"/>
    <mergeCell ref="FS38:FV38"/>
    <mergeCell ref="HG27:HJ27"/>
    <mergeCell ref="HO27:HR27"/>
    <mergeCell ref="HW27:HZ27"/>
    <mergeCell ref="IE27:IH27"/>
    <mergeCell ref="IM27:IP27"/>
    <mergeCell ref="GQ27:GT27"/>
    <mergeCell ref="GY27:HB27"/>
    <mergeCell ref="IE39:IH39"/>
    <mergeCell ref="IM39:IP39"/>
    <mergeCell ref="HO39:HR39"/>
    <mergeCell ref="HW39:HZ39"/>
    <mergeCell ref="IE38:IH38"/>
    <mergeCell ref="IM38:IP38"/>
    <mergeCell ref="HW38:HZ38"/>
    <mergeCell ref="GQ36:GT36"/>
    <mergeCell ref="IM36:IP36"/>
    <mergeCell ref="IE36:IH36"/>
    <mergeCell ref="HW36:HZ36"/>
    <mergeCell ref="GY36:HB36"/>
    <mergeCell ref="HG36:HJ36"/>
    <mergeCell ref="HO36:HR36"/>
    <mergeCell ref="GI39:GL39"/>
    <mergeCell ref="GQ39:GT39"/>
    <mergeCell ref="GY39:HB39"/>
    <mergeCell ref="HG39:HJ39"/>
    <mergeCell ref="CQ36:CT36"/>
    <mergeCell ref="CY36:DB36"/>
    <mergeCell ref="DG36:DJ36"/>
    <mergeCell ref="DO36:DR36"/>
    <mergeCell ref="DW36:DZ36"/>
    <mergeCell ref="EE36:EH36"/>
    <mergeCell ref="EM36:EP36"/>
    <mergeCell ref="EU36:EX36"/>
    <mergeCell ref="FC36:FF36"/>
    <mergeCell ref="GI36:GL36"/>
    <mergeCell ref="FK36:FN36"/>
    <mergeCell ref="FS36:FV36"/>
    <mergeCell ref="GA36:GD36"/>
    <mergeCell ref="DG39:DJ39"/>
    <mergeCell ref="DO39:DR39"/>
    <mergeCell ref="DW39:DZ39"/>
    <mergeCell ref="EE39:EH39"/>
    <mergeCell ref="EM39:EP39"/>
    <mergeCell ref="EU39:EX39"/>
    <mergeCell ref="FC39:FF39"/>
    <mergeCell ref="A15:G15"/>
    <mergeCell ref="D21:F21"/>
    <mergeCell ref="B23:C23"/>
    <mergeCell ref="D26:F26"/>
    <mergeCell ref="B67:C67"/>
    <mergeCell ref="D67:E67"/>
    <mergeCell ref="B5:C5"/>
    <mergeCell ref="D5:F5"/>
    <mergeCell ref="GA39:GD39"/>
    <mergeCell ref="W36:Z36"/>
    <mergeCell ref="AE36:AH36"/>
    <mergeCell ref="D17:F17"/>
    <mergeCell ref="B41:F41"/>
    <mergeCell ref="B42:F42"/>
    <mergeCell ref="B43:F43"/>
    <mergeCell ref="BS36:BV36"/>
    <mergeCell ref="CA36:CD36"/>
    <mergeCell ref="CI36:CL36"/>
    <mergeCell ref="BK39:BN39"/>
    <mergeCell ref="BS39:BV39"/>
    <mergeCell ref="CA39:CD39"/>
    <mergeCell ref="EE27:EH27"/>
    <mergeCell ref="FK39:FN39"/>
    <mergeCell ref="FS39:FV39"/>
  </mergeCells>
  <conditionalFormatting sqref="I3:I7">
    <cfRule type="cellIs" dxfId="42" priority="10" stopIfTrue="1" operator="equal">
      <formula>0</formula>
    </cfRule>
  </conditionalFormatting>
  <conditionalFormatting sqref="I10">
    <cfRule type="cellIs" dxfId="41" priority="1" stopIfTrue="1" operator="equal">
      <formula>0</formula>
    </cfRule>
  </conditionalFormatting>
  <conditionalFormatting sqref="I12:I14">
    <cfRule type="cellIs" dxfId="40" priority="14" stopIfTrue="1" operator="equal">
      <formula>0</formula>
    </cfRule>
  </conditionalFormatting>
  <conditionalFormatting sqref="I18">
    <cfRule type="cellIs" dxfId="39" priority="104" stopIfTrue="1" operator="equal">
      <formula>0</formula>
    </cfRule>
  </conditionalFormatting>
  <conditionalFormatting sqref="I20:I33">
    <cfRule type="cellIs" dxfId="38" priority="18" stopIfTrue="1" operator="equal">
      <formula>0</formula>
    </cfRule>
  </conditionalFormatting>
  <conditionalFormatting sqref="I36:I39">
    <cfRule type="cellIs" dxfId="37" priority="4" stopIfTrue="1" operator="equal">
      <formula>0</formula>
    </cfRule>
  </conditionalFormatting>
  <conditionalFormatting sqref="I64">
    <cfRule type="cellIs" dxfId="36" priority="67" stopIfTrue="1" operator="equal">
      <formula>0</formula>
    </cfRule>
  </conditionalFormatting>
  <conditionalFormatting sqref="I66">
    <cfRule type="cellIs" dxfId="35" priority="11" stopIfTrue="1" operator="equal">
      <formula>0</formula>
    </cfRule>
  </conditionalFormatting>
  <conditionalFormatting sqref="J24">
    <cfRule type="cellIs" dxfId="34" priority="60" stopIfTrue="1" operator="equal">
      <formula>0</formula>
    </cfRule>
  </conditionalFormatting>
  <conditionalFormatting sqref="L24:M24 S24:U24 AA24:AC24 AI24:AK24 AQ24:AS24 AY24:BA24 BG24:BI24 BO24:BQ24 BW24:BY24 CE24:CG24 CM24:CO24 CU24:CW24 DC24:DE24 DK24:DM24 DS24:DU24 EA24:EC24 EI24:EK24 EQ24:ES24 EY24:FA24 FG24:FI24 FO24:FQ24 FW24:FY24 GE24:GG24 GM24:GO24 GU24:GW24 HC24:HE24 HK24:HM24 HS24:HU24 IA24:IC24 II24:IK24 IQ24:IS24">
    <cfRule type="cellIs" dxfId="33" priority="150" stopIfTrue="1" operator="equal">
      <formula>0</formula>
    </cfRule>
  </conditionalFormatting>
  <conditionalFormatting sqref="L27:M27 S27:U27 AA27:AC27 AI27:AK27 AQ27:AS27 AY27:BA27 BG27:BI27 BO27:BQ27 BW27:BY27 CE27:CG27 CM27:CO27 CU27:CW27 DC27:DE27 DK27:DM27 DS27:DU27 EA27:EC27 EI27:EK27 EQ27:ES27 EY27:FA27 FG27:FI27 FO27:FQ27 FW27:FY27 GE27:GG27 GM27:GO27 GU27:GW27 HC27:HE27 HK27:HM27 HS27:HU27 IA27:IC27 II27:IK27 IQ27:IS27">
    <cfRule type="cellIs" dxfId="32" priority="64" stopIfTrue="1" operator="equal">
      <formula>0</formula>
    </cfRule>
  </conditionalFormatting>
  <conditionalFormatting sqref="L36:M39 S36:U39 AA36:AC39 AI36:AK39 AQ36:AS39 AY36:BA39 BG36:BI39 BO36:BQ39 BW36:BY39 CE36:CG39 CM36:CO39 CU36:CW39 DC36:DE39 DK36:DM39 DS36:DU39 EA36:EC39 EI36:EK39 EQ36:ES39 EY36:FA39 FG36:FI39 FO36:FQ39 FW36:FY39 GE36:GG39 GM36:GO39 GU36:GW39 HC36:HE39 HK36:HM39 HS36:HU39 IA36:IC39 II36:IK39 IQ36:IS39">
    <cfRule type="cellIs" dxfId="31" priority="17" stopIfTrue="1" operator="equal">
      <formula>0</formula>
    </cfRule>
  </conditionalFormatting>
  <printOptions horizontalCentered="1"/>
  <pageMargins left="0.23622047244094491" right="0.23622047244094491" top="0.35433070866141736" bottom="0.19685039370078741" header="0.19685039370078741" footer="0"/>
  <pageSetup scale="80" orientation="portrait" r:id="rId1"/>
  <headerFooter>
    <oddFooter>&amp;CPágina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8"/>
  <sheetViews>
    <sheetView showGridLines="0" showWhiteSpace="0" view="pageLayout" zoomScaleNormal="100" workbookViewId="0">
      <selection sqref="A1:E1"/>
    </sheetView>
  </sheetViews>
  <sheetFormatPr defaultColWidth="7.42578125" defaultRowHeight="12.75" x14ac:dyDescent="0.2"/>
  <cols>
    <col min="1" max="1" width="11.42578125" style="3" customWidth="1"/>
    <col min="2" max="2" width="67.7109375" customWidth="1"/>
    <col min="3" max="3" width="15.85546875" customWidth="1"/>
    <col min="4" max="5" width="8.7109375" customWidth="1"/>
    <col min="7" max="7" width="12.7109375" style="69" hidden="1" customWidth="1"/>
    <col min="8" max="8" width="9.140625" hidden="1" customWidth="1"/>
  </cols>
  <sheetData>
    <row r="1" spans="1:10" s="65" customFormat="1" ht="24.95" customHeight="1" x14ac:dyDescent="0.35">
      <c r="A1" s="696" t="s">
        <v>260</v>
      </c>
      <c r="B1" s="697"/>
      <c r="C1" s="697"/>
      <c r="D1" s="697"/>
      <c r="E1" s="698"/>
      <c r="F1" s="180"/>
      <c r="G1" s="74"/>
      <c r="H1" s="145"/>
      <c r="I1" s="145"/>
    </row>
    <row r="2" spans="1:10" s="11" customFormat="1" ht="13.5" customHeight="1" thickBot="1" x14ac:dyDescent="0.3">
      <c r="A2" s="699" t="s">
        <v>484</v>
      </c>
      <c r="B2" s="562"/>
      <c r="C2" s="562"/>
      <c r="D2" s="562"/>
      <c r="E2" s="700"/>
      <c r="F2" s="17"/>
      <c r="G2" s="70"/>
      <c r="H2" s="18"/>
      <c r="I2" s="18"/>
      <c r="J2" s="12"/>
    </row>
    <row r="3" spans="1:10" ht="13.5" customHeight="1" x14ac:dyDescent="0.2">
      <c r="A3" s="300" t="s">
        <v>113</v>
      </c>
      <c r="B3" s="459" t="s">
        <v>114</v>
      </c>
      <c r="C3" s="459" t="s">
        <v>74</v>
      </c>
      <c r="D3" s="459" t="s">
        <v>191</v>
      </c>
      <c r="E3" s="301" t="s">
        <v>117</v>
      </c>
      <c r="F3" s="181"/>
      <c r="G3" s="302" t="s">
        <v>117</v>
      </c>
      <c r="H3" s="4"/>
      <c r="I3" s="4"/>
    </row>
    <row r="4" spans="1:10" s="4" customFormat="1" ht="13.5" customHeight="1" x14ac:dyDescent="0.2">
      <c r="A4" s="66" t="s">
        <v>246</v>
      </c>
      <c r="B4" s="171" t="s">
        <v>376</v>
      </c>
      <c r="C4" s="46" t="s">
        <v>16</v>
      </c>
      <c r="D4" s="67" t="s">
        <v>37</v>
      </c>
      <c r="E4" s="68">
        <f>SUM(G4-(G4*Capa!$C$1))</f>
        <v>5.35</v>
      </c>
      <c r="G4" s="71">
        <v>5.35</v>
      </c>
    </row>
    <row r="5" spans="1:10" s="4" customFormat="1" ht="13.5" customHeight="1" x14ac:dyDescent="0.2">
      <c r="A5" s="303" t="s">
        <v>360</v>
      </c>
      <c r="B5" s="269" t="s">
        <v>373</v>
      </c>
      <c r="C5" s="270" t="s">
        <v>705</v>
      </c>
      <c r="D5" s="304" t="s">
        <v>37</v>
      </c>
      <c r="E5" s="305">
        <f>SUM(G5-(G5*Capa!$C$1))</f>
        <v>7.81</v>
      </c>
      <c r="G5" s="306">
        <v>7.81</v>
      </c>
    </row>
    <row r="6" spans="1:10" s="4" customFormat="1" ht="13.5" customHeight="1" x14ac:dyDescent="0.2">
      <c r="A6" s="66" t="s">
        <v>652</v>
      </c>
      <c r="B6" s="171" t="s">
        <v>653</v>
      </c>
      <c r="C6" s="46" t="s">
        <v>705</v>
      </c>
      <c r="D6" s="67" t="s">
        <v>37</v>
      </c>
      <c r="E6" s="68">
        <f>SUM(G6-(G6*Capa!$C$1))</f>
        <v>8.98</v>
      </c>
      <c r="G6" s="71">
        <v>8.98</v>
      </c>
    </row>
    <row r="7" spans="1:10" ht="13.5" customHeight="1" x14ac:dyDescent="0.2">
      <c r="A7" s="303" t="s">
        <v>247</v>
      </c>
      <c r="B7" s="269" t="s">
        <v>377</v>
      </c>
      <c r="C7" s="270" t="s">
        <v>16</v>
      </c>
      <c r="D7" s="304" t="s">
        <v>37</v>
      </c>
      <c r="E7" s="305">
        <f>SUM(G7-(G7*Capa!$C$1))</f>
        <v>12.4</v>
      </c>
      <c r="F7" s="4"/>
      <c r="G7" s="271">
        <v>12.4</v>
      </c>
      <c r="H7" s="4"/>
      <c r="I7" s="4"/>
    </row>
    <row r="8" spans="1:10" ht="13.5" customHeight="1" x14ac:dyDescent="0.2">
      <c r="A8" s="66" t="s">
        <v>709</v>
      </c>
      <c r="B8" s="171" t="s">
        <v>766</v>
      </c>
      <c r="C8" s="46" t="s">
        <v>16</v>
      </c>
      <c r="D8" s="67" t="s">
        <v>37</v>
      </c>
      <c r="E8" s="68">
        <f>SUM(G8-(G8*Capa!$C$1))</f>
        <v>15.64</v>
      </c>
      <c r="F8" s="4"/>
      <c r="G8" s="73">
        <v>15.64</v>
      </c>
      <c r="H8" s="4"/>
      <c r="I8" s="4"/>
    </row>
    <row r="9" spans="1:10" s="4" customFormat="1" ht="13.5" customHeight="1" x14ac:dyDescent="0.2">
      <c r="A9" s="303" t="s">
        <v>248</v>
      </c>
      <c r="B9" s="269" t="s">
        <v>378</v>
      </c>
      <c r="C9" s="270" t="s">
        <v>16</v>
      </c>
      <c r="D9" s="304" t="s">
        <v>37</v>
      </c>
      <c r="E9" s="305">
        <f>SUM(G9-(G9*Capa!$C$1))</f>
        <v>18.66</v>
      </c>
      <c r="G9" s="306">
        <v>18.66</v>
      </c>
    </row>
    <row r="10" spans="1:10" s="4" customFormat="1" ht="13.5" customHeight="1" x14ac:dyDescent="0.2">
      <c r="A10" s="66" t="s">
        <v>111</v>
      </c>
      <c r="B10" s="171" t="s">
        <v>379</v>
      </c>
      <c r="C10" s="46" t="s">
        <v>16</v>
      </c>
      <c r="D10" s="67" t="s">
        <v>37</v>
      </c>
      <c r="E10" s="68">
        <f>SUM(G10-(G10*Capa!$C$1))</f>
        <v>12.5</v>
      </c>
      <c r="G10" s="72">
        <v>12.5</v>
      </c>
    </row>
    <row r="11" spans="1:10" s="4" customFormat="1" ht="13.5" customHeight="1" x14ac:dyDescent="0.2">
      <c r="A11" s="303" t="s">
        <v>523</v>
      </c>
      <c r="B11" s="269" t="s">
        <v>528</v>
      </c>
      <c r="C11" s="270" t="s">
        <v>16</v>
      </c>
      <c r="D11" s="304" t="s">
        <v>37</v>
      </c>
      <c r="E11" s="305">
        <f>SUM(G11-(G11*Capa!$C$1))</f>
        <v>18.649999999999999</v>
      </c>
      <c r="G11" s="307">
        <v>18.649999999999999</v>
      </c>
    </row>
    <row r="12" spans="1:10" s="4" customFormat="1" ht="13.5" customHeight="1" x14ac:dyDescent="0.2">
      <c r="A12" s="66" t="s">
        <v>350</v>
      </c>
      <c r="B12" s="171" t="s">
        <v>380</v>
      </c>
      <c r="C12" s="46" t="s">
        <v>16</v>
      </c>
      <c r="D12" s="67" t="s">
        <v>37</v>
      </c>
      <c r="E12" s="68">
        <f>SUM(G12-(G12*Capa!$C$1))</f>
        <v>5.91</v>
      </c>
      <c r="G12" s="71">
        <v>5.91</v>
      </c>
    </row>
    <row r="13" spans="1:10" ht="13.5" customHeight="1" thickBot="1" x14ac:dyDescent="0.25">
      <c r="A13" s="303" t="s">
        <v>272</v>
      </c>
      <c r="B13" s="269" t="s">
        <v>261</v>
      </c>
      <c r="C13" s="270" t="s">
        <v>16</v>
      </c>
      <c r="D13" s="304" t="s">
        <v>37</v>
      </c>
      <c r="E13" s="305">
        <f>SUM(G13-(G13*Capa!$C$1))</f>
        <v>8.52</v>
      </c>
      <c r="F13" s="4"/>
      <c r="G13" s="308">
        <v>8.52</v>
      </c>
      <c r="H13" s="4"/>
      <c r="I13" s="4"/>
    </row>
    <row r="14" spans="1:10" s="65" customFormat="1" ht="24.95" customHeight="1" thickBot="1" x14ac:dyDescent="0.4">
      <c r="A14" s="681" t="s">
        <v>386</v>
      </c>
      <c r="B14" s="682"/>
      <c r="C14" s="682"/>
      <c r="D14" s="682"/>
      <c r="E14" s="683"/>
      <c r="F14" s="145"/>
      <c r="G14" s="74"/>
      <c r="H14" s="145"/>
      <c r="I14" s="145"/>
    </row>
    <row r="15" spans="1:10" ht="13.5" customHeight="1" x14ac:dyDescent="0.2">
      <c r="A15" s="300" t="s">
        <v>113</v>
      </c>
      <c r="B15" s="459" t="s">
        <v>114</v>
      </c>
      <c r="C15" s="459" t="s">
        <v>31</v>
      </c>
      <c r="D15" s="459" t="s">
        <v>191</v>
      </c>
      <c r="E15" s="301" t="s">
        <v>117</v>
      </c>
      <c r="F15" s="4"/>
      <c r="G15" s="302" t="s">
        <v>117</v>
      </c>
      <c r="H15" s="4"/>
      <c r="I15" s="4"/>
    </row>
    <row r="16" spans="1:10" ht="13.5" customHeight="1" x14ac:dyDescent="0.2">
      <c r="A16" s="66" t="s">
        <v>482</v>
      </c>
      <c r="B16" s="172" t="s">
        <v>501</v>
      </c>
      <c r="C16" s="46" t="s">
        <v>705</v>
      </c>
      <c r="D16" s="67" t="s">
        <v>38</v>
      </c>
      <c r="E16" s="68">
        <f>SUM(G16-(G16*Capa!$C$1))</f>
        <v>1.32</v>
      </c>
      <c r="F16" s="4"/>
      <c r="G16" s="385">
        <v>1.32</v>
      </c>
      <c r="H16" s="4"/>
      <c r="I16" s="4"/>
    </row>
    <row r="17" spans="1:9" ht="13.5" customHeight="1" x14ac:dyDescent="0.2">
      <c r="A17" s="303" t="s">
        <v>542</v>
      </c>
      <c r="B17" s="189" t="s">
        <v>561</v>
      </c>
      <c r="C17" s="270" t="s">
        <v>16</v>
      </c>
      <c r="D17" s="304" t="s">
        <v>38</v>
      </c>
      <c r="E17" s="305">
        <f>SUM(G17-(G17*Capa!$C$1))</f>
        <v>1.38</v>
      </c>
      <c r="F17" s="4"/>
      <c r="G17" s="386">
        <v>1.38</v>
      </c>
      <c r="H17" s="4"/>
      <c r="I17" s="4"/>
    </row>
    <row r="18" spans="1:9" ht="13.5" customHeight="1" x14ac:dyDescent="0.2">
      <c r="A18" s="66" t="s">
        <v>483</v>
      </c>
      <c r="B18" s="172" t="s">
        <v>502</v>
      </c>
      <c r="C18" s="46" t="s">
        <v>16</v>
      </c>
      <c r="D18" s="67" t="s">
        <v>38</v>
      </c>
      <c r="E18" s="68">
        <f>SUM(G18-(G18*Capa!$C$1))</f>
        <v>1.45</v>
      </c>
      <c r="F18" s="4"/>
      <c r="G18" s="387">
        <v>1.45</v>
      </c>
      <c r="H18" s="4"/>
      <c r="I18" s="4"/>
    </row>
    <row r="19" spans="1:9" s="4" customFormat="1" ht="13.5" customHeight="1" x14ac:dyDescent="0.2">
      <c r="A19" s="303" t="s">
        <v>483</v>
      </c>
      <c r="B19" s="189" t="s">
        <v>562</v>
      </c>
      <c r="C19" s="270" t="s">
        <v>16</v>
      </c>
      <c r="D19" s="304" t="s">
        <v>38</v>
      </c>
      <c r="E19" s="305">
        <f>SUM(G19-(G19*Capa!$C$1))</f>
        <v>1.45</v>
      </c>
      <c r="G19" s="388">
        <v>1.45</v>
      </c>
    </row>
    <row r="20" spans="1:9" s="4" customFormat="1" ht="13.5" customHeight="1" x14ac:dyDescent="0.2">
      <c r="A20" s="66" t="s">
        <v>482</v>
      </c>
      <c r="B20" s="172" t="s">
        <v>710</v>
      </c>
      <c r="C20" s="46" t="s">
        <v>705</v>
      </c>
      <c r="D20" s="67" t="s">
        <v>38</v>
      </c>
      <c r="E20" s="68">
        <f>SUM(G20-(G20*Capa!$C$1))</f>
        <v>1.32</v>
      </c>
      <c r="G20" s="387">
        <v>1.32</v>
      </c>
    </row>
    <row r="21" spans="1:9" ht="13.5" customHeight="1" x14ac:dyDescent="0.2">
      <c r="A21" s="303" t="s">
        <v>254</v>
      </c>
      <c r="B21" s="189" t="s">
        <v>772</v>
      </c>
      <c r="C21" s="270" t="s">
        <v>16</v>
      </c>
      <c r="D21" s="304" t="s">
        <v>38</v>
      </c>
      <c r="E21" s="305">
        <f>SUM(G21-(G21*Capa!$C$1))</f>
        <v>1.97</v>
      </c>
      <c r="F21" s="4"/>
      <c r="G21" s="389">
        <v>1.97</v>
      </c>
      <c r="H21" s="4"/>
      <c r="I21" s="4"/>
    </row>
    <row r="22" spans="1:9" ht="13.5" customHeight="1" x14ac:dyDescent="0.2">
      <c r="A22" s="66" t="s">
        <v>71</v>
      </c>
      <c r="B22" s="172" t="s">
        <v>771</v>
      </c>
      <c r="C22" s="46" t="s">
        <v>16</v>
      </c>
      <c r="D22" s="67" t="s">
        <v>38</v>
      </c>
      <c r="E22" s="68">
        <f>SUM(G22-(G22*Capa!$C$1))</f>
        <v>2.08</v>
      </c>
      <c r="F22" s="4"/>
      <c r="G22" s="390">
        <v>2.08</v>
      </c>
      <c r="H22" s="4"/>
      <c r="I22" s="4"/>
    </row>
    <row r="23" spans="1:9" ht="13.5" customHeight="1" x14ac:dyDescent="0.2">
      <c r="A23" s="303" t="s">
        <v>72</v>
      </c>
      <c r="B23" s="189" t="s">
        <v>770</v>
      </c>
      <c r="C23" s="270" t="s">
        <v>16</v>
      </c>
      <c r="D23" s="304" t="s">
        <v>38</v>
      </c>
      <c r="E23" s="305">
        <f>SUM(G23-(G23*Capa!$C$1))</f>
        <v>2.65</v>
      </c>
      <c r="F23" s="4"/>
      <c r="G23" s="388">
        <v>2.65</v>
      </c>
      <c r="H23" s="4"/>
      <c r="I23" s="4"/>
    </row>
    <row r="24" spans="1:9" s="4" customFormat="1" ht="13.5" customHeight="1" x14ac:dyDescent="0.2">
      <c r="A24" s="66" t="s">
        <v>254</v>
      </c>
      <c r="B24" s="172" t="s">
        <v>769</v>
      </c>
      <c r="C24" s="46" t="s">
        <v>16</v>
      </c>
      <c r="D24" s="67" t="s">
        <v>38</v>
      </c>
      <c r="E24" s="68">
        <f>SUM(G24-(G24*Capa!$C$1))</f>
        <v>1.97</v>
      </c>
      <c r="G24" s="385">
        <v>1.97</v>
      </c>
    </row>
    <row r="25" spans="1:9" s="4" customFormat="1" ht="13.5" customHeight="1" x14ac:dyDescent="0.2">
      <c r="A25" s="303" t="s">
        <v>112</v>
      </c>
      <c r="B25" s="189" t="s">
        <v>768</v>
      </c>
      <c r="C25" s="270" t="s">
        <v>16</v>
      </c>
      <c r="D25" s="304" t="s">
        <v>38</v>
      </c>
      <c r="E25" s="305">
        <f>SUM(G25-(G25*Capa!$C$1))</f>
        <v>2.08</v>
      </c>
      <c r="G25" s="386">
        <v>2.08</v>
      </c>
    </row>
    <row r="26" spans="1:9" s="4" customFormat="1" ht="13.5" customHeight="1" thickBot="1" x14ac:dyDescent="0.25">
      <c r="A26" s="66" t="s">
        <v>524</v>
      </c>
      <c r="B26" s="172" t="s">
        <v>767</v>
      </c>
      <c r="C26" s="46" t="s">
        <v>16</v>
      </c>
      <c r="D26" s="67" t="s">
        <v>38</v>
      </c>
      <c r="E26" s="68">
        <f>SUM(G26-(G26*Capa!$C$1))</f>
        <v>2.08</v>
      </c>
      <c r="G26" s="391">
        <v>2.08</v>
      </c>
    </row>
    <row r="27" spans="1:9" s="65" customFormat="1" ht="24.95" customHeight="1" thickBot="1" x14ac:dyDescent="0.4">
      <c r="A27" s="681" t="s">
        <v>387</v>
      </c>
      <c r="B27" s="682"/>
      <c r="C27" s="682"/>
      <c r="D27" s="682"/>
      <c r="E27" s="683"/>
      <c r="F27" s="145"/>
      <c r="G27" s="74"/>
      <c r="H27" s="145"/>
      <c r="I27" s="145"/>
    </row>
    <row r="28" spans="1:9" ht="13.5" customHeight="1" x14ac:dyDescent="0.2">
      <c r="A28" s="300" t="s">
        <v>113</v>
      </c>
      <c r="B28" s="309" t="s">
        <v>114</v>
      </c>
      <c r="C28" s="459" t="s">
        <v>191</v>
      </c>
      <c r="D28" s="459" t="s">
        <v>117</v>
      </c>
      <c r="E28" s="301" t="s">
        <v>707</v>
      </c>
      <c r="F28" s="4"/>
      <c r="G28" s="310" t="s">
        <v>117</v>
      </c>
      <c r="H28" s="311" t="s">
        <v>706</v>
      </c>
      <c r="I28" s="4"/>
    </row>
    <row r="29" spans="1:9" ht="13.5" customHeight="1" x14ac:dyDescent="0.2">
      <c r="A29" s="66" t="s">
        <v>73</v>
      </c>
      <c r="B29" s="172" t="s">
        <v>347</v>
      </c>
      <c r="C29" s="67" t="s">
        <v>38</v>
      </c>
      <c r="D29" s="299">
        <f>SUM(G29-(G29*Capa!$C$1))</f>
        <v>0.35</v>
      </c>
      <c r="E29" s="68">
        <f>SUM(H29-(H29*Capa!$C$1))</f>
        <v>21.85</v>
      </c>
      <c r="F29" s="4"/>
      <c r="G29" s="92">
        <v>0.35</v>
      </c>
      <c r="H29" s="68">
        <v>21.85</v>
      </c>
      <c r="I29" s="4"/>
    </row>
    <row r="30" spans="1:9" ht="13.5" customHeight="1" x14ac:dyDescent="0.2">
      <c r="A30" s="303" t="s">
        <v>349</v>
      </c>
      <c r="B30" s="189" t="s">
        <v>348</v>
      </c>
      <c r="C30" s="304" t="s">
        <v>38</v>
      </c>
      <c r="D30" s="313">
        <f>SUM(G30-(G30*Capa!$C$1))</f>
        <v>0.49</v>
      </c>
      <c r="E30" s="305">
        <f>SUM(H30-(H30*Capa!$C$1))</f>
        <v>23</v>
      </c>
      <c r="F30" s="4"/>
      <c r="G30" s="312">
        <v>0.49</v>
      </c>
      <c r="H30" s="191">
        <v>23</v>
      </c>
      <c r="I30" s="4"/>
    </row>
    <row r="31" spans="1:9" ht="13.5" customHeight="1" x14ac:dyDescent="0.2">
      <c r="A31" s="66" t="s">
        <v>73</v>
      </c>
      <c r="B31" s="172" t="s">
        <v>529</v>
      </c>
      <c r="C31" s="67" t="s">
        <v>99</v>
      </c>
      <c r="D31" s="299">
        <f>SUM(G31-(G31*Capa!$C$1))</f>
        <v>164</v>
      </c>
      <c r="E31" s="94" t="s">
        <v>139</v>
      </c>
      <c r="F31" s="4"/>
      <c r="G31" s="92">
        <v>164</v>
      </c>
      <c r="H31" s="94" t="s">
        <v>139</v>
      </c>
      <c r="I31" s="4"/>
    </row>
    <row r="32" spans="1:9" ht="13.5" customHeight="1" x14ac:dyDescent="0.2">
      <c r="A32" s="303" t="s">
        <v>349</v>
      </c>
      <c r="B32" s="189" t="s">
        <v>530</v>
      </c>
      <c r="C32" s="304" t="s">
        <v>99</v>
      </c>
      <c r="D32" s="313">
        <f>SUM(G32-(G32*Capa!$C$1))</f>
        <v>188</v>
      </c>
      <c r="E32" s="314" t="s">
        <v>139</v>
      </c>
      <c r="F32" s="4"/>
      <c r="G32" s="312">
        <v>188</v>
      </c>
      <c r="H32" s="246" t="s">
        <v>139</v>
      </c>
      <c r="I32" s="4"/>
    </row>
    <row r="33" spans="1:10" ht="13.5" customHeight="1" x14ac:dyDescent="0.2">
      <c r="A33" s="66" t="s">
        <v>87</v>
      </c>
      <c r="B33" s="172" t="s">
        <v>381</v>
      </c>
      <c r="C33" s="67" t="s">
        <v>38</v>
      </c>
      <c r="D33" s="299">
        <f>SUM(G33-(G33*Capa!$C$1))</f>
        <v>1.86</v>
      </c>
      <c r="E33" s="94" t="s">
        <v>139</v>
      </c>
      <c r="F33" s="4"/>
      <c r="G33" s="92">
        <v>1.86</v>
      </c>
      <c r="H33" s="94" t="s">
        <v>139</v>
      </c>
      <c r="I33" s="4"/>
    </row>
    <row r="34" spans="1:10" ht="13.5" customHeight="1" x14ac:dyDescent="0.2">
      <c r="A34" s="303" t="s">
        <v>382</v>
      </c>
      <c r="B34" s="189" t="s">
        <v>383</v>
      </c>
      <c r="C34" s="304" t="s">
        <v>38</v>
      </c>
      <c r="D34" s="313">
        <f>SUM(G34-(G34*Capa!$C$1))</f>
        <v>0.39</v>
      </c>
      <c r="E34" s="314" t="s">
        <v>139</v>
      </c>
      <c r="F34" s="4"/>
      <c r="G34" s="315">
        <v>0.39</v>
      </c>
      <c r="H34" s="246" t="s">
        <v>139</v>
      </c>
      <c r="I34" s="4"/>
    </row>
    <row r="35" spans="1:10" ht="13.5" customHeight="1" x14ac:dyDescent="0.2">
      <c r="A35" s="66" t="s">
        <v>298</v>
      </c>
      <c r="B35" s="172" t="s">
        <v>384</v>
      </c>
      <c r="C35" s="67" t="s">
        <v>38</v>
      </c>
      <c r="D35" s="299">
        <f>SUM(G35-(G35*Capa!$C$1))</f>
        <v>0.19</v>
      </c>
      <c r="E35" s="94" t="s">
        <v>139</v>
      </c>
      <c r="F35" s="4"/>
      <c r="G35" s="92">
        <v>0.19</v>
      </c>
      <c r="H35" s="94" t="s">
        <v>139</v>
      </c>
      <c r="I35" s="4"/>
    </row>
    <row r="36" spans="1:10" ht="13.5" customHeight="1" x14ac:dyDescent="0.2">
      <c r="A36" s="303" t="s">
        <v>298</v>
      </c>
      <c r="B36" s="189" t="s">
        <v>384</v>
      </c>
      <c r="C36" s="304" t="s">
        <v>99</v>
      </c>
      <c r="D36" s="313">
        <f>SUM(G36-(G36*Capa!$C$1))</f>
        <v>152</v>
      </c>
      <c r="E36" s="314" t="s">
        <v>139</v>
      </c>
      <c r="F36" s="4"/>
      <c r="G36" s="486">
        <v>152</v>
      </c>
      <c r="H36" s="314" t="s">
        <v>139</v>
      </c>
      <c r="I36" s="4"/>
    </row>
    <row r="37" spans="1:10" ht="13.5" customHeight="1" x14ac:dyDescent="0.2">
      <c r="A37" s="66" t="s">
        <v>273</v>
      </c>
      <c r="B37" s="172" t="s">
        <v>262</v>
      </c>
      <c r="C37" s="67" t="s">
        <v>38</v>
      </c>
      <c r="D37" s="299">
        <f>SUM(G37-(G37*Capa!$C$1))</f>
        <v>3.28</v>
      </c>
      <c r="E37" s="94" t="s">
        <v>139</v>
      </c>
      <c r="F37" s="4"/>
      <c r="G37" s="91">
        <v>3.28</v>
      </c>
      <c r="H37" s="98" t="s">
        <v>139</v>
      </c>
      <c r="I37" s="4"/>
    </row>
    <row r="38" spans="1:10" ht="13.5" customHeight="1" x14ac:dyDescent="0.2">
      <c r="A38" s="303" t="s">
        <v>274</v>
      </c>
      <c r="B38" s="189" t="s">
        <v>263</v>
      </c>
      <c r="C38" s="304" t="s">
        <v>38</v>
      </c>
      <c r="D38" s="313">
        <f>SUM(G38-(G38*Capa!$C$1))</f>
        <v>4.0199999999999996</v>
      </c>
      <c r="E38" s="314" t="s">
        <v>139</v>
      </c>
      <c r="F38" s="4"/>
      <c r="G38" s="486">
        <v>4.0199999999999996</v>
      </c>
      <c r="H38" s="314" t="s">
        <v>139</v>
      </c>
      <c r="I38" s="4"/>
    </row>
    <row r="39" spans="1:10" ht="13.5" customHeight="1" x14ac:dyDescent="0.2">
      <c r="A39" s="66" t="s">
        <v>275</v>
      </c>
      <c r="B39" s="172" t="s">
        <v>264</v>
      </c>
      <c r="C39" s="67" t="s">
        <v>38</v>
      </c>
      <c r="D39" s="299">
        <f>SUM(G39-(G39*Capa!$C$1))</f>
        <v>0.45</v>
      </c>
      <c r="E39" s="94" t="s">
        <v>139</v>
      </c>
      <c r="F39" s="4"/>
      <c r="G39" s="482">
        <v>0.45</v>
      </c>
      <c r="H39" s="98" t="s">
        <v>139</v>
      </c>
      <c r="I39" s="4"/>
    </row>
    <row r="40" spans="1:10" ht="13.5" customHeight="1" x14ac:dyDescent="0.2">
      <c r="A40" s="303" t="s">
        <v>276</v>
      </c>
      <c r="B40" s="189" t="s">
        <v>265</v>
      </c>
      <c r="C40" s="304" t="s">
        <v>38</v>
      </c>
      <c r="D40" s="313">
        <f>SUM(G40-(G40*Capa!$C$1))</f>
        <v>0.9</v>
      </c>
      <c r="E40" s="314" t="s">
        <v>139</v>
      </c>
      <c r="F40" s="4"/>
      <c r="G40" s="486">
        <v>0.9</v>
      </c>
      <c r="H40" s="314" t="s">
        <v>139</v>
      </c>
      <c r="I40" s="4"/>
    </row>
    <row r="41" spans="1:10" ht="13.5" customHeight="1" x14ac:dyDescent="0.2">
      <c r="A41" s="66" t="s">
        <v>745</v>
      </c>
      <c r="B41" s="172" t="s">
        <v>744</v>
      </c>
      <c r="C41" s="67" t="s">
        <v>38</v>
      </c>
      <c r="D41" s="299">
        <f>SUM(G41-(G41*Capa!$C$1))</f>
        <v>0.75</v>
      </c>
      <c r="E41" s="94" t="s">
        <v>139</v>
      </c>
      <c r="F41" s="4"/>
      <c r="G41" s="482">
        <v>0.75</v>
      </c>
      <c r="H41" s="483" t="s">
        <v>139</v>
      </c>
      <c r="I41" s="4"/>
    </row>
    <row r="42" spans="1:10" ht="13.5" customHeight="1" x14ac:dyDescent="0.2">
      <c r="A42" s="303" t="s">
        <v>539</v>
      </c>
      <c r="B42" s="189" t="s">
        <v>708</v>
      </c>
      <c r="C42" s="304" t="s">
        <v>38</v>
      </c>
      <c r="D42" s="313">
        <f>SUM(G42-(G42*Capa!$C$1))</f>
        <v>1.49</v>
      </c>
      <c r="E42" s="314" t="s">
        <v>139</v>
      </c>
      <c r="F42" s="4"/>
      <c r="G42" s="315">
        <v>1.49</v>
      </c>
      <c r="H42" s="442" t="s">
        <v>139</v>
      </c>
      <c r="I42" s="4"/>
    </row>
    <row r="43" spans="1:10" ht="13.5" customHeight="1" thickBot="1" x14ac:dyDescent="0.25">
      <c r="A43" s="66" t="s">
        <v>823</v>
      </c>
      <c r="B43" s="172" t="s">
        <v>822</v>
      </c>
      <c r="C43" s="67" t="s">
        <v>38</v>
      </c>
      <c r="D43" s="299">
        <f>SUM(G43-(G43*Capa!$C$1))</f>
        <v>1.84</v>
      </c>
      <c r="E43" s="94" t="s">
        <v>139</v>
      </c>
      <c r="F43" s="4"/>
      <c r="G43" s="484">
        <v>1.84</v>
      </c>
      <c r="H43" s="485" t="s">
        <v>139</v>
      </c>
      <c r="I43" s="4"/>
    </row>
    <row r="44" spans="1:10" s="65" customFormat="1" ht="24.95" customHeight="1" x14ac:dyDescent="0.35">
      <c r="A44" s="681" t="s">
        <v>388</v>
      </c>
      <c r="B44" s="682"/>
      <c r="C44" s="682"/>
      <c r="D44" s="682"/>
      <c r="E44" s="683"/>
      <c r="F44" s="145"/>
      <c r="G44" s="74"/>
      <c r="H44" s="145"/>
      <c r="I44" s="145"/>
    </row>
    <row r="45" spans="1:10" s="11" customFormat="1" ht="13.5" customHeight="1" thickBot="1" x14ac:dyDescent="0.3">
      <c r="A45" s="699" t="s">
        <v>484</v>
      </c>
      <c r="B45" s="562"/>
      <c r="C45" s="562"/>
      <c r="D45" s="562"/>
      <c r="E45" s="700"/>
      <c r="F45" s="17"/>
      <c r="G45" s="70"/>
      <c r="H45" s="18"/>
      <c r="I45" s="18"/>
      <c r="J45" s="12"/>
    </row>
    <row r="46" spans="1:10" ht="13.5" customHeight="1" x14ac:dyDescent="0.2">
      <c r="A46" s="300" t="s">
        <v>113</v>
      </c>
      <c r="B46" s="583" t="s">
        <v>114</v>
      </c>
      <c r="C46" s="583"/>
      <c r="D46" s="459" t="s">
        <v>191</v>
      </c>
      <c r="E46" s="301" t="s">
        <v>117</v>
      </c>
      <c r="F46" s="4"/>
      <c r="G46" s="302" t="s">
        <v>117</v>
      </c>
      <c r="H46" s="4"/>
      <c r="I46" s="4"/>
    </row>
    <row r="47" spans="1:10" ht="13.5" customHeight="1" x14ac:dyDescent="0.2">
      <c r="A47" s="66" t="s">
        <v>68</v>
      </c>
      <c r="B47" s="702" t="s">
        <v>206</v>
      </c>
      <c r="C47" s="702"/>
      <c r="D47" s="67" t="s">
        <v>37</v>
      </c>
      <c r="E47" s="68">
        <f>SUM(G47-(G47*Capa!$C$1))</f>
        <v>6.88</v>
      </c>
      <c r="F47" s="4"/>
      <c r="G47" s="72">
        <v>6.88</v>
      </c>
      <c r="H47" s="4"/>
      <c r="I47" s="4"/>
    </row>
    <row r="48" spans="1:10" ht="13.5" customHeight="1" x14ac:dyDescent="0.2">
      <c r="A48" s="303" t="s">
        <v>69</v>
      </c>
      <c r="B48" s="701" t="s">
        <v>207</v>
      </c>
      <c r="C48" s="701"/>
      <c r="D48" s="304" t="s">
        <v>37</v>
      </c>
      <c r="E48" s="305">
        <f>SUM(G48-(G48*Capa!$C$1))</f>
        <v>8.4499999999999993</v>
      </c>
      <c r="F48" s="4"/>
      <c r="G48" s="306">
        <v>8.4499999999999993</v>
      </c>
      <c r="H48" s="4"/>
      <c r="I48" s="4"/>
    </row>
    <row r="49" spans="1:9" ht="13.5" customHeight="1" x14ac:dyDescent="0.2">
      <c r="A49" s="66" t="s">
        <v>70</v>
      </c>
      <c r="B49" s="702" t="s">
        <v>389</v>
      </c>
      <c r="C49" s="702"/>
      <c r="D49" s="67" t="s">
        <v>37</v>
      </c>
      <c r="E49" s="68">
        <f>SUM(G49-(G49*Capa!$C$1))</f>
        <v>11.89</v>
      </c>
      <c r="F49" s="4"/>
      <c r="G49" s="73">
        <v>11.89</v>
      </c>
      <c r="H49" s="4"/>
      <c r="I49" s="4"/>
    </row>
    <row r="50" spans="1:9" ht="13.5" customHeight="1" x14ac:dyDescent="0.2">
      <c r="A50" s="303" t="s">
        <v>66</v>
      </c>
      <c r="B50" s="701" t="s">
        <v>385</v>
      </c>
      <c r="C50" s="701"/>
      <c r="D50" s="304" t="s">
        <v>38</v>
      </c>
      <c r="E50" s="305">
        <f>SUM(G50-(G50*Capa!$C$1))</f>
        <v>0.34</v>
      </c>
      <c r="F50" s="4"/>
      <c r="G50" s="306">
        <v>0.34</v>
      </c>
      <c r="H50" s="4"/>
      <c r="I50" s="4"/>
    </row>
    <row r="51" spans="1:9" ht="13.5" customHeight="1" x14ac:dyDescent="0.2">
      <c r="A51" s="66"/>
      <c r="B51" s="702" t="s">
        <v>711</v>
      </c>
      <c r="C51" s="702"/>
      <c r="D51" s="67" t="s">
        <v>697</v>
      </c>
      <c r="E51" s="68">
        <f>SUM(G51-(G51*Capa!$C$1))</f>
        <v>27.8</v>
      </c>
      <c r="F51" s="4"/>
      <c r="G51" s="72">
        <v>27.8</v>
      </c>
      <c r="H51" s="4"/>
      <c r="I51" s="4"/>
    </row>
    <row r="52" spans="1:9" ht="13.5" customHeight="1" x14ac:dyDescent="0.2">
      <c r="A52" s="303" t="s">
        <v>67</v>
      </c>
      <c r="B52" s="701" t="s">
        <v>712</v>
      </c>
      <c r="C52" s="701"/>
      <c r="D52" s="304" t="s">
        <v>99</v>
      </c>
      <c r="E52" s="305">
        <f>SUM(G52-(G52*Capa!$C$1))</f>
        <v>259</v>
      </c>
      <c r="F52" s="4"/>
      <c r="G52" s="307">
        <v>259</v>
      </c>
      <c r="H52" s="4"/>
      <c r="I52" s="4"/>
    </row>
    <row r="53" spans="1:9" ht="13.5" customHeight="1" thickBot="1" x14ac:dyDescent="0.25">
      <c r="A53" s="66" t="s">
        <v>243</v>
      </c>
      <c r="B53" s="702" t="s">
        <v>282</v>
      </c>
      <c r="C53" s="702"/>
      <c r="D53" s="67" t="s">
        <v>38</v>
      </c>
      <c r="E53" s="68">
        <f>SUM(G53-(G53*Capa!$C$1))</f>
        <v>0.3</v>
      </c>
      <c r="F53" s="4"/>
      <c r="G53" s="182">
        <v>0.3</v>
      </c>
      <c r="H53" s="4"/>
      <c r="I53" s="4"/>
    </row>
    <row r="54" spans="1:9" s="15" customFormat="1" ht="24.6" customHeight="1" thickBot="1" x14ac:dyDescent="0.25">
      <c r="A54" s="681" t="s">
        <v>776</v>
      </c>
      <c r="B54" s="682"/>
      <c r="C54" s="682"/>
      <c r="D54" s="682"/>
      <c r="E54" s="683"/>
      <c r="G54" s="107"/>
      <c r="H54" s="107"/>
    </row>
    <row r="55" spans="1:9" s="15" customFormat="1" ht="13.5" customHeight="1" x14ac:dyDescent="0.2">
      <c r="A55" s="684" t="s">
        <v>114</v>
      </c>
      <c r="B55" s="685"/>
      <c r="C55" s="685"/>
      <c r="D55" s="686" t="s">
        <v>777</v>
      </c>
      <c r="E55" s="687"/>
      <c r="F55" s="14"/>
      <c r="G55" s="688" t="s">
        <v>777</v>
      </c>
      <c r="H55" s="689"/>
    </row>
    <row r="56" spans="1:9" s="15" customFormat="1" ht="13.5" customHeight="1" x14ac:dyDescent="0.2">
      <c r="A56" s="690" t="s">
        <v>778</v>
      </c>
      <c r="B56" s="691"/>
      <c r="C56" s="691"/>
      <c r="D56" s="692">
        <f>'Cor Metal'!H9</f>
        <v>6.25</v>
      </c>
      <c r="E56" s="693"/>
      <c r="G56" s="694"/>
      <c r="H56" s="695"/>
    </row>
    <row r="57" spans="1:9" s="15" customFormat="1" ht="13.5" customHeight="1" thickBot="1" x14ac:dyDescent="0.25">
      <c r="A57" s="675" t="s">
        <v>779</v>
      </c>
      <c r="B57" s="676"/>
      <c r="C57" s="676"/>
      <c r="D57" s="677">
        <f>'Cor Metal'!H10</f>
        <v>9.5399999999999991</v>
      </c>
      <c r="E57" s="678"/>
      <c r="G57" s="679"/>
      <c r="H57" s="680"/>
    </row>
    <row r="58" spans="1:9" x14ac:dyDescent="0.2">
      <c r="A58" s="156"/>
      <c r="B58" s="4"/>
      <c r="C58" s="4"/>
      <c r="D58" s="4"/>
      <c r="E58" s="4"/>
      <c r="F58" s="4"/>
      <c r="G58" s="74"/>
      <c r="H58" s="4"/>
      <c r="I58" s="4"/>
    </row>
  </sheetData>
  <sheetProtection sheet="1" objects="1" scenarios="1"/>
  <mergeCells count="24">
    <mergeCell ref="A45:E45"/>
    <mergeCell ref="B52:C52"/>
    <mergeCell ref="B53:C53"/>
    <mergeCell ref="B48:C48"/>
    <mergeCell ref="B49:C49"/>
    <mergeCell ref="B46:C46"/>
    <mergeCell ref="B47:C47"/>
    <mergeCell ref="B50:C50"/>
    <mergeCell ref="B51:C51"/>
    <mergeCell ref="A1:E1"/>
    <mergeCell ref="A14:E14"/>
    <mergeCell ref="A27:E27"/>
    <mergeCell ref="A2:E2"/>
    <mergeCell ref="A44:E44"/>
    <mergeCell ref="A57:C57"/>
    <mergeCell ref="D57:E57"/>
    <mergeCell ref="G57:H57"/>
    <mergeCell ref="A54:E54"/>
    <mergeCell ref="A55:C55"/>
    <mergeCell ref="D55:E55"/>
    <mergeCell ref="G55:H55"/>
    <mergeCell ref="A56:C56"/>
    <mergeCell ref="D56:E56"/>
    <mergeCell ref="G56:H56"/>
  </mergeCells>
  <conditionalFormatting sqref="G4:G6 G47:G57">
    <cfRule type="cellIs" dxfId="30" priority="20" stopIfTrue="1" operator="equal">
      <formula>0</formula>
    </cfRule>
  </conditionalFormatting>
  <conditionalFormatting sqref="G9:G13">
    <cfRule type="cellIs" dxfId="29" priority="53" stopIfTrue="1" operator="equal">
      <formula>0</formula>
    </cfRule>
  </conditionalFormatting>
  <conditionalFormatting sqref="G16:G26">
    <cfRule type="cellIs" dxfId="28" priority="19" stopIfTrue="1" operator="equal">
      <formula>0</formula>
    </cfRule>
  </conditionalFormatting>
  <conditionalFormatting sqref="G29:H43">
    <cfRule type="cellIs" dxfId="27" priority="1" stopIfTrue="1" operator="equal">
      <formula>0</formula>
    </cfRule>
  </conditionalFormatting>
  <printOptions horizontalCentered="1"/>
  <pageMargins left="0.23622047244094491" right="0.23622047244094491" top="0.39370078740157483" bottom="0.19685039370078741" header="0.19685039370078741" footer="0"/>
  <pageSetup scale="90" orientation="portrait" r:id="rId1"/>
  <headerFooter>
    <oddFooter>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1732-4F63-4D94-A8AF-16BABF2996DA}">
  <dimension ref="A1:M41"/>
  <sheetViews>
    <sheetView showGridLines="0" showWhiteSpace="0" view="pageLayout" zoomScaleNormal="100" workbookViewId="0">
      <selection sqref="A1:H1"/>
    </sheetView>
  </sheetViews>
  <sheetFormatPr defaultColWidth="9" defaultRowHeight="12.75" x14ac:dyDescent="0.2"/>
  <cols>
    <col min="1" max="1" width="10.85546875" style="138" customWidth="1"/>
    <col min="2" max="2" width="25.42578125" style="10" customWidth="1"/>
    <col min="3" max="3" width="7.85546875" style="10" customWidth="1"/>
    <col min="4" max="4" width="15.28515625" style="10" customWidth="1"/>
    <col min="5" max="5" width="6.28515625" style="10" customWidth="1"/>
    <col min="6" max="8" width="11.7109375" style="10" customWidth="1"/>
    <col min="9" max="9" width="9.140625" style="10" customWidth="1"/>
    <col min="10" max="11" width="12.7109375" style="10" hidden="1" customWidth="1"/>
    <col min="12" max="14" width="9" style="10"/>
    <col min="15" max="15" width="38.140625" style="10" customWidth="1"/>
    <col min="16" max="16384" width="9" style="10"/>
  </cols>
  <sheetData>
    <row r="1" spans="1:12" ht="30" customHeight="1" thickBot="1" x14ac:dyDescent="0.25">
      <c r="A1" s="665" t="s">
        <v>659</v>
      </c>
      <c r="B1" s="666"/>
      <c r="C1" s="666"/>
      <c r="D1" s="666"/>
      <c r="E1" s="666"/>
      <c r="F1" s="666"/>
      <c r="G1" s="666"/>
      <c r="H1" s="667"/>
    </row>
    <row r="2" spans="1:12" s="29" customFormat="1" ht="39.6" customHeight="1" x14ac:dyDescent="0.2">
      <c r="A2" s="223" t="s">
        <v>113</v>
      </c>
      <c r="B2" s="704" t="s">
        <v>114</v>
      </c>
      <c r="C2" s="704"/>
      <c r="D2" s="704"/>
      <c r="E2" s="704"/>
      <c r="F2" s="443" t="s">
        <v>76</v>
      </c>
      <c r="G2" s="443" t="s">
        <v>93</v>
      </c>
      <c r="H2" s="445" t="s">
        <v>773</v>
      </c>
      <c r="J2" s="446" t="s">
        <v>76</v>
      </c>
      <c r="K2" s="451" t="s">
        <v>93</v>
      </c>
      <c r="L2" s="450"/>
    </row>
    <row r="3" spans="1:12" s="29" customFormat="1" ht="15" customHeight="1" x14ac:dyDescent="0.2">
      <c r="A3" s="135" t="s">
        <v>78</v>
      </c>
      <c r="B3" s="705" t="s">
        <v>660</v>
      </c>
      <c r="C3" s="705"/>
      <c r="D3" s="705"/>
      <c r="E3" s="705"/>
      <c r="F3" s="264">
        <f>SUM(J3-(J3*Capa!$C$1))</f>
        <v>7.25</v>
      </c>
      <c r="G3" s="264">
        <f>SUM(K3-(K3*Capa!$C$1))</f>
        <v>3.57</v>
      </c>
      <c r="H3" s="136">
        <f>'Cor Madeira'!D38</f>
        <v>3.57</v>
      </c>
      <c r="J3" s="447">
        <v>7.25</v>
      </c>
      <c r="K3" s="136">
        <v>3.57</v>
      </c>
      <c r="L3" s="111"/>
    </row>
    <row r="4" spans="1:12" s="29" customFormat="1" ht="15" customHeight="1" x14ac:dyDescent="0.2">
      <c r="A4" s="226" t="s">
        <v>79</v>
      </c>
      <c r="B4" s="703" t="s">
        <v>661</v>
      </c>
      <c r="C4" s="703"/>
      <c r="D4" s="703"/>
      <c r="E4" s="703"/>
      <c r="F4" s="444">
        <f>SUM(J4-(J4*Capa!$C$1))</f>
        <v>7.49</v>
      </c>
      <c r="G4" s="444">
        <f>SUM(K4-(K4*Capa!$C$1))</f>
        <v>4.55</v>
      </c>
      <c r="H4" s="169">
        <f>'Cor Madeira'!D39</f>
        <v>4.55</v>
      </c>
      <c r="J4" s="448">
        <v>7.49</v>
      </c>
      <c r="K4" s="169">
        <v>4.55</v>
      </c>
      <c r="L4" s="111"/>
    </row>
    <row r="5" spans="1:12" s="29" customFormat="1" ht="15" customHeight="1" x14ac:dyDescent="0.2">
      <c r="A5" s="135" t="s">
        <v>80</v>
      </c>
      <c r="B5" s="705" t="s">
        <v>662</v>
      </c>
      <c r="C5" s="705"/>
      <c r="D5" s="705"/>
      <c r="E5" s="705"/>
      <c r="F5" s="264">
        <f>SUM(J5-(J5*Capa!$C$1))</f>
        <v>9.89</v>
      </c>
      <c r="G5" s="264">
        <f>SUM(K5-(K5*Capa!$C$1))</f>
        <v>5.7</v>
      </c>
      <c r="H5" s="136">
        <f>'Cor Madeira'!D40</f>
        <v>5.7</v>
      </c>
      <c r="J5" s="447">
        <v>9.89</v>
      </c>
      <c r="K5" s="136">
        <v>5.7</v>
      </c>
      <c r="L5" s="111"/>
    </row>
    <row r="6" spans="1:12" s="29" customFormat="1" ht="15" customHeight="1" x14ac:dyDescent="0.2">
      <c r="A6" s="226" t="s">
        <v>81</v>
      </c>
      <c r="B6" s="703" t="s">
        <v>663</v>
      </c>
      <c r="C6" s="703"/>
      <c r="D6" s="703"/>
      <c r="E6" s="703"/>
      <c r="F6" s="444">
        <f>SUM(J6-(J6*Capa!$C$1))</f>
        <v>11.1</v>
      </c>
      <c r="G6" s="444">
        <f>SUM(K6-(K6*Capa!$C$1))</f>
        <v>6.23</v>
      </c>
      <c r="H6" s="169">
        <f>'Cor Madeira'!D41</f>
        <v>6.23</v>
      </c>
      <c r="J6" s="448">
        <v>11.1</v>
      </c>
      <c r="K6" s="169">
        <v>6.23</v>
      </c>
      <c r="L6" s="111"/>
    </row>
    <row r="7" spans="1:12" s="29" customFormat="1" ht="15" customHeight="1" x14ac:dyDescent="0.2">
      <c r="A7" s="135" t="s">
        <v>129</v>
      </c>
      <c r="B7" s="705" t="s">
        <v>664</v>
      </c>
      <c r="C7" s="705"/>
      <c r="D7" s="705"/>
      <c r="E7" s="705"/>
      <c r="F7" s="264">
        <f>SUM(J7-(J7*Capa!$C$1))</f>
        <v>5.24</v>
      </c>
      <c r="G7" s="264">
        <f>SUM(K7-(K7*Capa!$C$1))</f>
        <v>2.65</v>
      </c>
      <c r="H7" s="136">
        <f>'Cor Madeira'!D42</f>
        <v>2.65</v>
      </c>
      <c r="J7" s="447">
        <v>5.24</v>
      </c>
      <c r="K7" s="136">
        <v>2.65</v>
      </c>
      <c r="L7" s="111"/>
    </row>
    <row r="8" spans="1:12" s="29" customFormat="1" ht="15" customHeight="1" thickBot="1" x14ac:dyDescent="0.25">
      <c r="A8" s="226" t="s">
        <v>130</v>
      </c>
      <c r="B8" s="703" t="s">
        <v>665</v>
      </c>
      <c r="C8" s="703"/>
      <c r="D8" s="703"/>
      <c r="E8" s="703"/>
      <c r="F8" s="444">
        <f>SUM(J8-(J8*Capa!$C$1))</f>
        <v>5.98</v>
      </c>
      <c r="G8" s="444">
        <f>SUM(K8-(K8*Capa!$C$1))</f>
        <v>3.02</v>
      </c>
      <c r="H8" s="169">
        <f>'Cor Madeira'!D43</f>
        <v>3.02</v>
      </c>
      <c r="J8" s="449">
        <v>5.98</v>
      </c>
      <c r="K8" s="291">
        <v>3.02</v>
      </c>
      <c r="L8" s="111"/>
    </row>
    <row r="9" spans="1:12" s="23" customFormat="1" ht="30" customHeight="1" thickBot="1" x14ac:dyDescent="0.25">
      <c r="A9" s="625" t="s">
        <v>183</v>
      </c>
      <c r="B9" s="626"/>
      <c r="C9" s="626"/>
      <c r="D9" s="626"/>
      <c r="E9" s="626"/>
      <c r="F9" s="626"/>
      <c r="G9" s="626"/>
      <c r="H9" s="627"/>
    </row>
    <row r="10" spans="1:12" s="29" customFormat="1" ht="20.100000000000001" customHeight="1" x14ac:dyDescent="0.2">
      <c r="A10" s="223" t="s">
        <v>113</v>
      </c>
      <c r="B10" s="704" t="s">
        <v>114</v>
      </c>
      <c r="C10" s="704"/>
      <c r="D10" s="704"/>
      <c r="E10" s="704"/>
      <c r="F10" s="706" t="s">
        <v>74</v>
      </c>
      <c r="G10" s="706"/>
      <c r="H10" s="224" t="s">
        <v>117</v>
      </c>
      <c r="J10" s="225" t="s">
        <v>117</v>
      </c>
    </row>
    <row r="11" spans="1:12" s="29" customFormat="1" ht="15" customHeight="1" x14ac:dyDescent="0.2">
      <c r="A11" s="135" t="s">
        <v>133</v>
      </c>
      <c r="B11" s="705" t="s">
        <v>583</v>
      </c>
      <c r="C11" s="705"/>
      <c r="D11" s="705"/>
      <c r="E11" s="705"/>
      <c r="F11" s="707" t="s">
        <v>625</v>
      </c>
      <c r="G11" s="707"/>
      <c r="H11" s="136">
        <f>SUM(J11-(J11*Capa!$C$1))</f>
        <v>33.89</v>
      </c>
      <c r="J11" s="392">
        <v>33.89</v>
      </c>
    </row>
    <row r="12" spans="1:12" s="29" customFormat="1" ht="15" customHeight="1" x14ac:dyDescent="0.2">
      <c r="A12" s="226" t="s">
        <v>134</v>
      </c>
      <c r="B12" s="703" t="s">
        <v>185</v>
      </c>
      <c r="C12" s="703"/>
      <c r="D12" s="703"/>
      <c r="E12" s="703"/>
      <c r="F12" s="708" t="s">
        <v>625</v>
      </c>
      <c r="G12" s="708"/>
      <c r="H12" s="169">
        <f>SUM(J12-(J12*Capa!$C$1))</f>
        <v>25.86</v>
      </c>
      <c r="J12" s="393">
        <v>25.86</v>
      </c>
    </row>
    <row r="13" spans="1:12" s="29" customFormat="1" ht="15" customHeight="1" x14ac:dyDescent="0.2">
      <c r="A13" s="135" t="s">
        <v>135</v>
      </c>
      <c r="B13" s="705" t="s">
        <v>186</v>
      </c>
      <c r="C13" s="705"/>
      <c r="D13" s="705"/>
      <c r="E13" s="705"/>
      <c r="F13" s="707" t="s">
        <v>625</v>
      </c>
      <c r="G13" s="707"/>
      <c r="H13" s="136">
        <f>SUM(J13-(J13*Capa!$C$1))</f>
        <v>41.32</v>
      </c>
      <c r="J13" s="392">
        <v>41.32</v>
      </c>
    </row>
    <row r="14" spans="1:12" s="29" customFormat="1" ht="15" customHeight="1" x14ac:dyDescent="0.2">
      <c r="A14" s="226" t="s">
        <v>136</v>
      </c>
      <c r="B14" s="703" t="s">
        <v>187</v>
      </c>
      <c r="C14" s="703"/>
      <c r="D14" s="703"/>
      <c r="E14" s="703"/>
      <c r="F14" s="708" t="s">
        <v>625</v>
      </c>
      <c r="G14" s="708"/>
      <c r="H14" s="169">
        <f>SUM(J14-(J14*Capa!$C$1))</f>
        <v>16.54</v>
      </c>
      <c r="J14" s="393">
        <v>16.54</v>
      </c>
    </row>
    <row r="15" spans="1:12" s="29" customFormat="1" ht="15" customHeight="1" x14ac:dyDescent="0.2">
      <c r="A15" s="135" t="s">
        <v>143</v>
      </c>
      <c r="B15" s="705" t="s">
        <v>190</v>
      </c>
      <c r="C15" s="705"/>
      <c r="D15" s="705"/>
      <c r="E15" s="705"/>
      <c r="F15" s="707" t="s">
        <v>625</v>
      </c>
      <c r="G15" s="707"/>
      <c r="H15" s="136">
        <f>SUM(J15-(J15*Capa!$C$1))</f>
        <v>14.06</v>
      </c>
      <c r="J15" s="394">
        <v>14.06</v>
      </c>
    </row>
    <row r="16" spans="1:12" s="29" customFormat="1" ht="15" customHeight="1" x14ac:dyDescent="0.2">
      <c r="A16" s="226" t="s">
        <v>137</v>
      </c>
      <c r="B16" s="703" t="s">
        <v>188</v>
      </c>
      <c r="C16" s="703"/>
      <c r="D16" s="703"/>
      <c r="E16" s="703"/>
      <c r="F16" s="708" t="s">
        <v>625</v>
      </c>
      <c r="G16" s="708"/>
      <c r="H16" s="169">
        <f>SUM(J16-(J16*Capa!$C$1))</f>
        <v>12.62</v>
      </c>
      <c r="J16" s="395">
        <v>12.62</v>
      </c>
    </row>
    <row r="17" spans="1:13" s="29" customFormat="1" ht="15" customHeight="1" x14ac:dyDescent="0.2">
      <c r="A17" s="135" t="s">
        <v>314</v>
      </c>
      <c r="B17" s="705" t="s">
        <v>372</v>
      </c>
      <c r="C17" s="705"/>
      <c r="D17" s="705"/>
      <c r="E17" s="705"/>
      <c r="F17" s="707" t="s">
        <v>625</v>
      </c>
      <c r="G17" s="707"/>
      <c r="H17" s="136">
        <f>SUM(J17-(J17*Capa!$C$1))</f>
        <v>21.32</v>
      </c>
      <c r="J17" s="396">
        <v>21.32</v>
      </c>
    </row>
    <row r="18" spans="1:13" s="29" customFormat="1" ht="15" customHeight="1" x14ac:dyDescent="0.2">
      <c r="A18" s="226" t="s">
        <v>138</v>
      </c>
      <c r="B18" s="703" t="s">
        <v>189</v>
      </c>
      <c r="C18" s="703"/>
      <c r="D18" s="703"/>
      <c r="E18" s="703"/>
      <c r="F18" s="708" t="s">
        <v>625</v>
      </c>
      <c r="G18" s="708"/>
      <c r="H18" s="169">
        <f>SUM(J18-(J18*Capa!$C$1))</f>
        <v>4.76</v>
      </c>
      <c r="J18" s="397">
        <v>4.76</v>
      </c>
    </row>
    <row r="19" spans="1:13" s="29" customFormat="1" ht="15" customHeight="1" x14ac:dyDescent="0.2">
      <c r="A19" s="135" t="s">
        <v>522</v>
      </c>
      <c r="B19" s="705" t="s">
        <v>621</v>
      </c>
      <c r="C19" s="705"/>
      <c r="D19" s="705"/>
      <c r="E19" s="705"/>
      <c r="F19" s="714" t="s">
        <v>76</v>
      </c>
      <c r="G19" s="714"/>
      <c r="H19" s="136">
        <f>SUM(J19-(J19*Capa!$C$1))</f>
        <v>63</v>
      </c>
      <c r="J19" s="394">
        <v>63</v>
      </c>
    </row>
    <row r="20" spans="1:13" s="29" customFormat="1" ht="15" customHeight="1" x14ac:dyDescent="0.2">
      <c r="A20" s="226" t="s">
        <v>522</v>
      </c>
      <c r="B20" s="703" t="s">
        <v>622</v>
      </c>
      <c r="C20" s="703"/>
      <c r="D20" s="703"/>
      <c r="E20" s="703"/>
      <c r="F20" s="715" t="s">
        <v>624</v>
      </c>
      <c r="G20" s="715"/>
      <c r="H20" s="169">
        <f>SUM(J20-(J20*Capa!$C$1))</f>
        <v>63</v>
      </c>
      <c r="J20" s="393">
        <v>63</v>
      </c>
    </row>
    <row r="21" spans="1:13" s="29" customFormat="1" ht="15" customHeight="1" thickBot="1" x14ac:dyDescent="0.25">
      <c r="A21" s="135" t="s">
        <v>522</v>
      </c>
      <c r="B21" s="705" t="s">
        <v>623</v>
      </c>
      <c r="C21" s="705"/>
      <c r="D21" s="705"/>
      <c r="E21" s="705"/>
      <c r="F21" s="714" t="s">
        <v>144</v>
      </c>
      <c r="G21" s="714"/>
      <c r="H21" s="136">
        <f>SUM(J21-(J21*Capa!$C$1))</f>
        <v>45.73</v>
      </c>
      <c r="J21" s="398">
        <v>45.73</v>
      </c>
    </row>
    <row r="22" spans="1:13" s="139" customFormat="1" ht="30" customHeight="1" thickBot="1" x14ac:dyDescent="0.25">
      <c r="A22" s="724" t="s">
        <v>585</v>
      </c>
      <c r="B22" s="725"/>
      <c r="C22" s="725"/>
      <c r="D22" s="725"/>
      <c r="E22" s="725"/>
      <c r="F22" s="725"/>
      <c r="G22" s="725"/>
      <c r="H22" s="726"/>
      <c r="J22" s="179"/>
      <c r="K22" s="23"/>
      <c r="L22" s="23"/>
      <c r="M22" s="23"/>
    </row>
    <row r="23" spans="1:13" s="23" customFormat="1" ht="30" customHeight="1" thickBot="1" x14ac:dyDescent="0.25">
      <c r="A23" s="716" t="s">
        <v>284</v>
      </c>
      <c r="B23" s="717"/>
      <c r="C23" s="717"/>
      <c r="D23" s="717"/>
      <c r="E23" s="717"/>
      <c r="F23" s="717"/>
      <c r="G23" s="717"/>
      <c r="H23" s="718"/>
    </row>
    <row r="24" spans="1:13" s="29" customFormat="1" ht="20.100000000000001" customHeight="1" x14ac:dyDescent="0.2">
      <c r="A24" s="223" t="s">
        <v>113</v>
      </c>
      <c r="B24" s="719" t="s">
        <v>114</v>
      </c>
      <c r="C24" s="720"/>
      <c r="D24" s="720"/>
      <c r="E24" s="721"/>
      <c r="F24" s="722" t="s">
        <v>74</v>
      </c>
      <c r="G24" s="723"/>
      <c r="H24" s="224" t="s">
        <v>117</v>
      </c>
      <c r="J24" s="225" t="s">
        <v>117</v>
      </c>
    </row>
    <row r="25" spans="1:13" s="29" customFormat="1" ht="15" customHeight="1" x14ac:dyDescent="0.2">
      <c r="A25" s="135" t="s">
        <v>290</v>
      </c>
      <c r="B25" s="709" t="s">
        <v>584</v>
      </c>
      <c r="C25" s="710"/>
      <c r="D25" s="710"/>
      <c r="E25" s="711"/>
      <c r="F25" s="712" t="s">
        <v>625</v>
      </c>
      <c r="G25" s="713"/>
      <c r="H25" s="136">
        <f>SUM(J25-(J25*Capa!$C$1))</f>
        <v>55.11</v>
      </c>
      <c r="J25" s="392">
        <v>55.11</v>
      </c>
    </row>
    <row r="26" spans="1:13" s="29" customFormat="1" ht="15" customHeight="1" x14ac:dyDescent="0.2">
      <c r="A26" s="226" t="s">
        <v>286</v>
      </c>
      <c r="B26" s="727" t="s">
        <v>291</v>
      </c>
      <c r="C26" s="728"/>
      <c r="D26" s="728"/>
      <c r="E26" s="729"/>
      <c r="F26" s="730" t="s">
        <v>625</v>
      </c>
      <c r="G26" s="731"/>
      <c r="H26" s="169">
        <f>SUM(J26-(J26*Capa!$C$1))</f>
        <v>42.76</v>
      </c>
      <c r="J26" s="393">
        <v>42.76</v>
      </c>
    </row>
    <row r="27" spans="1:13" s="29" customFormat="1" ht="15" customHeight="1" x14ac:dyDescent="0.2">
      <c r="A27" s="135" t="s">
        <v>295</v>
      </c>
      <c r="B27" s="709" t="s">
        <v>296</v>
      </c>
      <c r="C27" s="710"/>
      <c r="D27" s="710"/>
      <c r="E27" s="711"/>
      <c r="F27" s="712" t="s">
        <v>625</v>
      </c>
      <c r="G27" s="713"/>
      <c r="H27" s="136">
        <f>SUM(J27-(J27*Capa!$C$1))</f>
        <v>8.93</v>
      </c>
      <c r="J27" s="392">
        <v>8.93</v>
      </c>
    </row>
    <row r="28" spans="1:13" s="29" customFormat="1" ht="15" customHeight="1" x14ac:dyDescent="0.2">
      <c r="A28" s="226" t="s">
        <v>287</v>
      </c>
      <c r="B28" s="727" t="s">
        <v>636</v>
      </c>
      <c r="C28" s="728"/>
      <c r="D28" s="728"/>
      <c r="E28" s="729"/>
      <c r="F28" s="730" t="s">
        <v>76</v>
      </c>
      <c r="G28" s="731"/>
      <c r="H28" s="169">
        <f>SUM(J28-(J28*Capa!$C$1))</f>
        <v>86.67</v>
      </c>
      <c r="J28" s="393">
        <v>86.67</v>
      </c>
    </row>
    <row r="29" spans="1:13" s="29" customFormat="1" ht="15" customHeight="1" x14ac:dyDescent="0.2">
      <c r="A29" s="135" t="s">
        <v>287</v>
      </c>
      <c r="B29" s="709" t="s">
        <v>637</v>
      </c>
      <c r="C29" s="710"/>
      <c r="D29" s="710"/>
      <c r="E29" s="711"/>
      <c r="F29" s="712" t="s">
        <v>624</v>
      </c>
      <c r="G29" s="713"/>
      <c r="H29" s="136">
        <f>SUM(J29-(J29*Capa!$C$1))</f>
        <v>86.67</v>
      </c>
      <c r="J29" s="394">
        <v>86.67</v>
      </c>
    </row>
    <row r="30" spans="1:13" s="29" customFormat="1" ht="15" customHeight="1" x14ac:dyDescent="0.2">
      <c r="A30" s="226" t="s">
        <v>287</v>
      </c>
      <c r="B30" s="727" t="s">
        <v>638</v>
      </c>
      <c r="C30" s="728"/>
      <c r="D30" s="728"/>
      <c r="E30" s="729"/>
      <c r="F30" s="730" t="s">
        <v>144</v>
      </c>
      <c r="G30" s="731"/>
      <c r="H30" s="169">
        <f>SUM(J30-(J30*Capa!$C$1))</f>
        <v>51.81</v>
      </c>
      <c r="J30" s="393">
        <v>51.81</v>
      </c>
    </row>
    <row r="31" spans="1:13" s="29" customFormat="1" ht="15" customHeight="1" x14ac:dyDescent="0.2">
      <c r="A31" s="135" t="s">
        <v>285</v>
      </c>
      <c r="B31" s="709" t="s">
        <v>297</v>
      </c>
      <c r="C31" s="710"/>
      <c r="D31" s="710"/>
      <c r="E31" s="711"/>
      <c r="F31" s="712" t="s">
        <v>625</v>
      </c>
      <c r="G31" s="713"/>
      <c r="H31" s="136">
        <f>SUM(J31-(J31*Capa!$C$1))</f>
        <v>4.57</v>
      </c>
      <c r="J31" s="394">
        <v>4.57</v>
      </c>
    </row>
    <row r="32" spans="1:13" s="29" customFormat="1" ht="15" customHeight="1" x14ac:dyDescent="0.2">
      <c r="A32" s="226" t="s">
        <v>288</v>
      </c>
      <c r="B32" s="727" t="s">
        <v>292</v>
      </c>
      <c r="C32" s="728"/>
      <c r="D32" s="728"/>
      <c r="E32" s="729"/>
      <c r="F32" s="730" t="s">
        <v>625</v>
      </c>
      <c r="G32" s="731"/>
      <c r="H32" s="169">
        <f>SUM(J32-(J32*Capa!$C$1))</f>
        <v>15.54</v>
      </c>
      <c r="J32" s="395">
        <v>15.54</v>
      </c>
    </row>
    <row r="33" spans="1:13" s="29" customFormat="1" ht="15" customHeight="1" x14ac:dyDescent="0.2">
      <c r="A33" s="135" t="s">
        <v>289</v>
      </c>
      <c r="B33" s="709" t="s">
        <v>293</v>
      </c>
      <c r="C33" s="710"/>
      <c r="D33" s="710"/>
      <c r="E33" s="711"/>
      <c r="F33" s="712" t="s">
        <v>625</v>
      </c>
      <c r="G33" s="713"/>
      <c r="H33" s="136">
        <f>SUM(J33-(J33*Capa!$C$1))</f>
        <v>8.93</v>
      </c>
      <c r="J33" s="396">
        <v>8.93</v>
      </c>
    </row>
    <row r="34" spans="1:13" s="139" customFormat="1" ht="30" customHeight="1" thickBot="1" x14ac:dyDescent="0.25">
      <c r="A34" s="732" t="s">
        <v>585</v>
      </c>
      <c r="B34" s="733"/>
      <c r="C34" s="733"/>
      <c r="D34" s="733"/>
      <c r="E34" s="733"/>
      <c r="F34" s="733"/>
      <c r="G34" s="733"/>
      <c r="H34" s="734"/>
      <c r="J34" s="179"/>
      <c r="K34" s="23"/>
      <c r="L34" s="23"/>
      <c r="M34" s="23"/>
    </row>
    <row r="35" spans="1:13" x14ac:dyDescent="0.2">
      <c r="J35" s="49"/>
      <c r="K35" s="49"/>
      <c r="L35" s="49"/>
      <c r="M35" s="49"/>
    </row>
    <row r="36" spans="1:13" x14ac:dyDescent="0.2">
      <c r="J36" s="49"/>
      <c r="K36" s="49"/>
      <c r="L36" s="49"/>
      <c r="M36" s="49"/>
    </row>
    <row r="37" spans="1:13" x14ac:dyDescent="0.2">
      <c r="J37" s="49"/>
      <c r="K37" s="49"/>
      <c r="L37" s="49"/>
      <c r="M37" s="49"/>
    </row>
    <row r="38" spans="1:13" x14ac:dyDescent="0.2">
      <c r="J38" s="49"/>
      <c r="K38" s="49"/>
      <c r="L38" s="49"/>
      <c r="M38" s="49"/>
    </row>
    <row r="39" spans="1:13" x14ac:dyDescent="0.2">
      <c r="J39" s="49"/>
      <c r="K39" s="49"/>
      <c r="L39" s="49"/>
      <c r="M39" s="49"/>
    </row>
    <row r="40" spans="1:13" x14ac:dyDescent="0.2">
      <c r="J40" s="49"/>
      <c r="K40" s="49"/>
      <c r="L40" s="49"/>
      <c r="M40" s="49"/>
    </row>
    <row r="41" spans="1:13" x14ac:dyDescent="0.2">
      <c r="J41" s="49"/>
      <c r="K41" s="49"/>
      <c r="L41" s="49"/>
      <c r="M41" s="49"/>
    </row>
  </sheetData>
  <sheetProtection sheet="1" objects="1" scenarios="1"/>
  <mergeCells count="56">
    <mergeCell ref="B32:E32"/>
    <mergeCell ref="F32:G32"/>
    <mergeCell ref="B33:E33"/>
    <mergeCell ref="F33:G33"/>
    <mergeCell ref="A34:H34"/>
    <mergeCell ref="B29:E29"/>
    <mergeCell ref="F29:G29"/>
    <mergeCell ref="B30:E30"/>
    <mergeCell ref="F30:G30"/>
    <mergeCell ref="B31:E31"/>
    <mergeCell ref="F31:G31"/>
    <mergeCell ref="B26:E26"/>
    <mergeCell ref="F26:G26"/>
    <mergeCell ref="B27:E27"/>
    <mergeCell ref="F27:G27"/>
    <mergeCell ref="B28:E28"/>
    <mergeCell ref="F28:G28"/>
    <mergeCell ref="B25:E25"/>
    <mergeCell ref="F25:G25"/>
    <mergeCell ref="B18:E18"/>
    <mergeCell ref="F18:G18"/>
    <mergeCell ref="B19:E19"/>
    <mergeCell ref="F19:G19"/>
    <mergeCell ref="B20:E20"/>
    <mergeCell ref="F20:G20"/>
    <mergeCell ref="B21:E21"/>
    <mergeCell ref="F21:G21"/>
    <mergeCell ref="A23:H23"/>
    <mergeCell ref="B24:E24"/>
    <mergeCell ref="F24:G24"/>
    <mergeCell ref="A22:H22"/>
    <mergeCell ref="B15:E15"/>
    <mergeCell ref="F15:G15"/>
    <mergeCell ref="B16:E16"/>
    <mergeCell ref="F16:G16"/>
    <mergeCell ref="B17:E17"/>
    <mergeCell ref="F17:G17"/>
    <mergeCell ref="B12:E12"/>
    <mergeCell ref="F12:G12"/>
    <mergeCell ref="B13:E13"/>
    <mergeCell ref="F13:G13"/>
    <mergeCell ref="B14:E14"/>
    <mergeCell ref="F14:G14"/>
    <mergeCell ref="A9:H9"/>
    <mergeCell ref="B10:E10"/>
    <mergeCell ref="F10:G10"/>
    <mergeCell ref="B11:E11"/>
    <mergeCell ref="F11:G11"/>
    <mergeCell ref="B8:E8"/>
    <mergeCell ref="B2:E2"/>
    <mergeCell ref="A1:H1"/>
    <mergeCell ref="B3:E3"/>
    <mergeCell ref="B4:E4"/>
    <mergeCell ref="B5:E5"/>
    <mergeCell ref="B6:E6"/>
    <mergeCell ref="B7:E7"/>
  </mergeCells>
  <conditionalFormatting sqref="J11 J13">
    <cfRule type="cellIs" dxfId="26" priority="22" stopIfTrue="1" operator="equal">
      <formula>0</formula>
    </cfRule>
  </conditionalFormatting>
  <conditionalFormatting sqref="J15:J22">
    <cfRule type="cellIs" dxfId="25" priority="5" stopIfTrue="1" operator="equal">
      <formula>0</formula>
    </cfRule>
  </conditionalFormatting>
  <conditionalFormatting sqref="J25 J27">
    <cfRule type="cellIs" dxfId="24" priority="18" stopIfTrue="1" operator="equal">
      <formula>0</formula>
    </cfRule>
  </conditionalFormatting>
  <conditionalFormatting sqref="J31:J34">
    <cfRule type="cellIs" dxfId="23" priority="16" stopIfTrue="1" operator="equal">
      <formula>0</formula>
    </cfRule>
  </conditionalFormatting>
  <printOptions horizontalCentered="1"/>
  <pageMargins left="0.23622047244094491" right="0.23622047244094491" top="0.39370078740157483" bottom="0.19685039370078741" header="0.19685039370078741" footer="0"/>
  <pageSetup orientation="portrait" r:id="rId1"/>
  <headerFooter>
    <oddFooter>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4"/>
  <dimension ref="A1:Q62"/>
  <sheetViews>
    <sheetView showGridLines="0" showWhiteSpace="0" view="pageLayout" zoomScaleNormal="100" zoomScaleSheetLayoutView="25" workbookViewId="0">
      <selection sqref="A1:I1"/>
    </sheetView>
  </sheetViews>
  <sheetFormatPr defaultColWidth="7.7109375" defaultRowHeight="18" x14ac:dyDescent="0.25"/>
  <cols>
    <col min="1" max="1" width="9.85546875" style="12" customWidth="1"/>
    <col min="2" max="2" width="33.7109375" style="12" customWidth="1"/>
    <col min="3" max="3" width="13" style="12" customWidth="1"/>
    <col min="4" max="9" width="8.140625" style="133" customWidth="1"/>
    <col min="10" max="10" width="10.140625" style="12" customWidth="1"/>
    <col min="11" max="16" width="12.7109375" style="49" hidden="1" customWidth="1"/>
    <col min="17" max="17" width="12" style="49" hidden="1" customWidth="1"/>
    <col min="18" max="131" width="9.140625" style="12" customWidth="1"/>
    <col min="132" max="16384" width="7.7109375" style="12"/>
  </cols>
  <sheetData>
    <row r="1" spans="1:17" s="85" customFormat="1" ht="30" customHeight="1" x14ac:dyDescent="0.35">
      <c r="A1" s="748" t="s">
        <v>434</v>
      </c>
      <c r="B1" s="749"/>
      <c r="C1" s="749"/>
      <c r="D1" s="749"/>
      <c r="E1" s="749"/>
      <c r="F1" s="749"/>
      <c r="G1" s="749"/>
      <c r="H1" s="749"/>
      <c r="I1" s="750"/>
      <c r="K1" s="49"/>
      <c r="L1" s="49"/>
      <c r="M1" s="49"/>
      <c r="N1" s="49"/>
      <c r="O1" s="49"/>
      <c r="P1" s="49"/>
      <c r="Q1" s="49"/>
    </row>
    <row r="2" spans="1:17" ht="12" customHeight="1" thickBot="1" x14ac:dyDescent="0.3">
      <c r="A2" s="699" t="s">
        <v>118</v>
      </c>
      <c r="B2" s="562"/>
      <c r="C2" s="562"/>
      <c r="D2" s="562"/>
      <c r="E2" s="562"/>
      <c r="F2" s="562"/>
      <c r="G2" s="562"/>
      <c r="H2" s="562"/>
      <c r="I2" s="700"/>
    </row>
    <row r="3" spans="1:17" ht="12" customHeight="1" x14ac:dyDescent="0.25">
      <c r="A3" s="212" t="s">
        <v>113</v>
      </c>
      <c r="B3" s="562" t="s">
        <v>114</v>
      </c>
      <c r="C3" s="562"/>
      <c r="D3" s="230" t="s">
        <v>75</v>
      </c>
      <c r="E3" s="230" t="s">
        <v>76</v>
      </c>
      <c r="F3" s="231" t="s">
        <v>93</v>
      </c>
      <c r="G3" s="230" t="s">
        <v>580</v>
      </c>
      <c r="H3" s="230" t="s">
        <v>16</v>
      </c>
      <c r="I3" s="232" t="s">
        <v>144</v>
      </c>
      <c r="K3" s="233" t="s">
        <v>75</v>
      </c>
      <c r="L3" s="234" t="s">
        <v>76</v>
      </c>
      <c r="M3" s="235" t="s">
        <v>93</v>
      </c>
      <c r="N3" s="234" t="s">
        <v>77</v>
      </c>
      <c r="O3" s="234" t="s">
        <v>16</v>
      </c>
      <c r="P3" s="236" t="s">
        <v>144</v>
      </c>
    </row>
    <row r="4" spans="1:17" s="74" customFormat="1" ht="12" customHeight="1" x14ac:dyDescent="0.2">
      <c r="A4" s="75" t="s">
        <v>12</v>
      </c>
      <c r="B4" s="735" t="s">
        <v>164</v>
      </c>
      <c r="C4" s="735"/>
      <c r="D4" s="173">
        <f>SUM(K4-(K4*Capa!$C$1))</f>
        <v>13.8</v>
      </c>
      <c r="E4" s="173">
        <f>SUM(L4-(L4*Capa!$C$1))</f>
        <v>10.6</v>
      </c>
      <c r="F4" s="173">
        <f>SUM(M4-(M4*Capa!$C$1))</f>
        <v>11.16</v>
      </c>
      <c r="G4" s="173">
        <f>SUM(N4-(N4*Capa!$C$1))</f>
        <v>21.94</v>
      </c>
      <c r="H4" s="173">
        <f>SUM(O4-(O4*Capa!$C$1))</f>
        <v>10.38</v>
      </c>
      <c r="I4" s="174">
        <f>SUM(P4-(P4*Capa!$C$1))</f>
        <v>10.38</v>
      </c>
      <c r="K4" s="125">
        <v>13.8</v>
      </c>
      <c r="L4" s="175">
        <v>10.6</v>
      </c>
      <c r="M4" s="175">
        <v>11.16</v>
      </c>
      <c r="N4" s="175">
        <v>21.94</v>
      </c>
      <c r="O4" s="176">
        <v>10.38</v>
      </c>
      <c r="P4" s="126">
        <v>10.38</v>
      </c>
      <c r="Q4" s="49"/>
    </row>
    <row r="5" spans="1:17" s="74" customFormat="1" ht="12" customHeight="1" x14ac:dyDescent="0.2">
      <c r="A5" s="188" t="s">
        <v>13</v>
      </c>
      <c r="B5" s="736" t="s">
        <v>165</v>
      </c>
      <c r="C5" s="736"/>
      <c r="D5" s="190">
        <f>SUM(K5-(K5*Capa!$C$1))</f>
        <v>12.96</v>
      </c>
      <c r="E5" s="190">
        <f>SUM(L5-(L5*Capa!$C$1))</f>
        <v>7.98</v>
      </c>
      <c r="F5" s="190">
        <f>SUM(M5-(M5*Capa!$C$1))</f>
        <v>8.59</v>
      </c>
      <c r="G5" s="190">
        <f>SUM(N5-(N5*Capa!$C$1))</f>
        <v>14.41</v>
      </c>
      <c r="H5" s="190">
        <f>SUM(O5-(O5*Capa!$C$1))</f>
        <v>7.15</v>
      </c>
      <c r="I5" s="191">
        <f>SUM(P5-(P5*Capa!$C$1))</f>
        <v>7.15</v>
      </c>
      <c r="K5" s="241">
        <v>12.96</v>
      </c>
      <c r="L5" s="242">
        <v>7.98</v>
      </c>
      <c r="M5" s="242">
        <v>8.59</v>
      </c>
      <c r="N5" s="242">
        <v>14.41</v>
      </c>
      <c r="O5" s="243">
        <v>7.15</v>
      </c>
      <c r="P5" s="194">
        <v>7.15</v>
      </c>
      <c r="Q5" s="49"/>
    </row>
    <row r="6" spans="1:17" s="74" customFormat="1" ht="12" customHeight="1" x14ac:dyDescent="0.2">
      <c r="A6" s="75" t="s">
        <v>14</v>
      </c>
      <c r="B6" s="735" t="s">
        <v>166</v>
      </c>
      <c r="C6" s="735"/>
      <c r="D6" s="173">
        <f>SUM(K6-(K6*Capa!$C$1))</f>
        <v>11.98</v>
      </c>
      <c r="E6" s="173">
        <f>SUM(L6-(L6*Capa!$C$1))</f>
        <v>10.38</v>
      </c>
      <c r="F6" s="173">
        <f>SUM(M6-(M6*Capa!$C$1))</f>
        <v>10.38</v>
      </c>
      <c r="G6" s="173">
        <f>SUM(N6-(N6*Capa!$C$1))</f>
        <v>14.41</v>
      </c>
      <c r="H6" s="173">
        <f>SUM(O6-(O6*Capa!$C$1))</f>
        <v>10.38</v>
      </c>
      <c r="I6" s="98" t="s">
        <v>139</v>
      </c>
      <c r="K6" s="125">
        <v>11.98</v>
      </c>
      <c r="L6" s="175">
        <v>10.38</v>
      </c>
      <c r="M6" s="175">
        <v>10.38</v>
      </c>
      <c r="N6" s="175">
        <v>14.41</v>
      </c>
      <c r="O6" s="176">
        <v>10.38</v>
      </c>
      <c r="P6" s="126" t="s">
        <v>139</v>
      </c>
      <c r="Q6" s="49"/>
    </row>
    <row r="7" spans="1:17" s="15" customFormat="1" ht="30" customHeight="1" thickBot="1" x14ac:dyDescent="0.25">
      <c r="A7" s="737" t="s">
        <v>776</v>
      </c>
      <c r="B7" s="738"/>
      <c r="C7" s="738"/>
      <c r="D7" s="738"/>
      <c r="E7" s="738"/>
      <c r="F7" s="738"/>
      <c r="G7" s="738"/>
      <c r="H7" s="738"/>
      <c r="I7" s="739"/>
    </row>
    <row r="8" spans="1:17" s="15" customFormat="1" ht="11.85" customHeight="1" x14ac:dyDescent="0.2">
      <c r="A8" s="760" t="s">
        <v>114</v>
      </c>
      <c r="B8" s="706"/>
      <c r="C8" s="706"/>
      <c r="D8" s="706"/>
      <c r="E8" s="706"/>
      <c r="F8" s="706"/>
      <c r="G8" s="706"/>
      <c r="H8" s="765" t="s">
        <v>777</v>
      </c>
      <c r="I8" s="766"/>
      <c r="K8" s="460" t="s">
        <v>777</v>
      </c>
      <c r="L8" s="464"/>
    </row>
    <row r="9" spans="1:17" s="15" customFormat="1" ht="11.85" customHeight="1" x14ac:dyDescent="0.2">
      <c r="A9" s="761" t="s">
        <v>778</v>
      </c>
      <c r="B9" s="762"/>
      <c r="C9" s="762"/>
      <c r="D9" s="762"/>
      <c r="E9" s="762"/>
      <c r="F9" s="762"/>
      <c r="G9" s="762"/>
      <c r="H9" s="767">
        <f>SUM(K9-(K9*Capa!$C$1))</f>
        <v>6.25</v>
      </c>
      <c r="I9" s="768"/>
      <c r="K9" s="461">
        <v>6.25</v>
      </c>
      <c r="L9" s="465"/>
    </row>
    <row r="10" spans="1:17" s="15" customFormat="1" ht="11.85" customHeight="1" thickBot="1" x14ac:dyDescent="0.25">
      <c r="A10" s="763" t="s">
        <v>779</v>
      </c>
      <c r="B10" s="764"/>
      <c r="C10" s="764"/>
      <c r="D10" s="764"/>
      <c r="E10" s="764"/>
      <c r="F10" s="764"/>
      <c r="G10" s="764"/>
      <c r="H10" s="758">
        <f>SUM(K10-(K10*Capa!$C$1))</f>
        <v>9.5399999999999991</v>
      </c>
      <c r="I10" s="759"/>
      <c r="K10" s="462">
        <v>9.5399999999999991</v>
      </c>
      <c r="L10" s="465"/>
    </row>
    <row r="11" spans="1:17" s="85" customFormat="1" ht="30" customHeight="1" thickBot="1" x14ac:dyDescent="0.4">
      <c r="A11" s="744" t="s">
        <v>432</v>
      </c>
      <c r="B11" s="745"/>
      <c r="C11" s="745"/>
      <c r="D11" s="745"/>
      <c r="E11" s="745"/>
      <c r="F11" s="745"/>
      <c r="G11" s="745"/>
      <c r="H11" s="745"/>
      <c r="I11" s="746"/>
      <c r="K11" s="237"/>
      <c r="L11" s="463"/>
      <c r="M11" s="239"/>
      <c r="N11" s="238"/>
      <c r="O11" s="238"/>
      <c r="P11" s="240"/>
      <c r="Q11" s="49"/>
    </row>
    <row r="12" spans="1:17" ht="12" customHeight="1" x14ac:dyDescent="0.25">
      <c r="A12" s="212" t="s">
        <v>113</v>
      </c>
      <c r="B12" s="562" t="s">
        <v>114</v>
      </c>
      <c r="C12" s="562"/>
      <c r="D12" s="230" t="s">
        <v>75</v>
      </c>
      <c r="E12" s="230" t="s">
        <v>76</v>
      </c>
      <c r="F12" s="231" t="s">
        <v>93</v>
      </c>
      <c r="G12" s="230" t="s">
        <v>580</v>
      </c>
      <c r="H12" s="230" t="s">
        <v>16</v>
      </c>
      <c r="I12" s="232" t="s">
        <v>144</v>
      </c>
      <c r="K12" s="233" t="s">
        <v>75</v>
      </c>
      <c r="L12" s="234" t="s">
        <v>76</v>
      </c>
      <c r="M12" s="235" t="s">
        <v>93</v>
      </c>
      <c r="N12" s="234" t="s">
        <v>77</v>
      </c>
      <c r="O12" s="234" t="s">
        <v>16</v>
      </c>
      <c r="P12" s="236" t="s">
        <v>144</v>
      </c>
    </row>
    <row r="13" spans="1:17" s="74" customFormat="1" ht="12" customHeight="1" x14ac:dyDescent="0.2">
      <c r="A13" s="75" t="s">
        <v>51</v>
      </c>
      <c r="B13" s="747" t="s">
        <v>400</v>
      </c>
      <c r="C13" s="747"/>
      <c r="D13" s="173">
        <f>SUM(K13-(K13*Capa!$C$1))</f>
        <v>13.66</v>
      </c>
      <c r="E13" s="173">
        <f>SUM(L13-(L13*Capa!$C$1))</f>
        <v>13.66</v>
      </c>
      <c r="F13" s="173">
        <f>SUM(M13-(M13*Capa!$C$1))</f>
        <v>13.66</v>
      </c>
      <c r="G13" s="173">
        <f>SUM(N13-(N13*Capa!$C$1))</f>
        <v>13.66</v>
      </c>
      <c r="H13" s="173">
        <f>SUM(O13-(O13*Capa!$C$1))</f>
        <v>13.66</v>
      </c>
      <c r="I13" s="174">
        <f>SUM(P13-(P13*Capa!$C$1))</f>
        <v>13.66</v>
      </c>
      <c r="K13" s="399">
        <v>13.66</v>
      </c>
      <c r="L13" s="399">
        <v>13.66</v>
      </c>
      <c r="M13" s="399">
        <v>13.66</v>
      </c>
      <c r="N13" s="399">
        <v>13.66</v>
      </c>
      <c r="O13" s="399">
        <v>13.66</v>
      </c>
      <c r="P13" s="399">
        <v>13.66</v>
      </c>
      <c r="Q13" s="49"/>
    </row>
    <row r="14" spans="1:17" s="74" customFormat="1" ht="12" customHeight="1" x14ac:dyDescent="0.2">
      <c r="A14" s="188" t="s">
        <v>100</v>
      </c>
      <c r="B14" s="740" t="s">
        <v>595</v>
      </c>
      <c r="C14" s="740"/>
      <c r="D14" s="190">
        <f>SUM(K14-(K14*Capa!$C$1))</f>
        <v>14.95</v>
      </c>
      <c r="E14" s="190">
        <f>SUM(L14-(L14*Capa!$C$1))</f>
        <v>14.95</v>
      </c>
      <c r="F14" s="190">
        <f>SUM(M14-(M14*Capa!$C$1))</f>
        <v>14.95</v>
      </c>
      <c r="G14" s="190">
        <f>SUM(N14-(N14*Capa!$C$1))</f>
        <v>14.95</v>
      </c>
      <c r="H14" s="190">
        <f>SUM(O14-(O14*Capa!$C$1))</f>
        <v>14.95</v>
      </c>
      <c r="I14" s="191">
        <f>SUM(P14-(P14*Capa!$C$1))</f>
        <v>14.95</v>
      </c>
      <c r="K14" s="401">
        <v>14.95</v>
      </c>
      <c r="L14" s="401">
        <v>14.95</v>
      </c>
      <c r="M14" s="401">
        <v>14.95</v>
      </c>
      <c r="N14" s="401">
        <v>14.95</v>
      </c>
      <c r="O14" s="401">
        <v>14.95</v>
      </c>
      <c r="P14" s="401">
        <v>14.95</v>
      </c>
      <c r="Q14" s="49"/>
    </row>
    <row r="15" spans="1:17" s="74" customFormat="1" ht="12" customHeight="1" x14ac:dyDescent="0.2">
      <c r="A15" s="75" t="s">
        <v>62</v>
      </c>
      <c r="B15" s="741" t="s">
        <v>182</v>
      </c>
      <c r="C15" s="741"/>
      <c r="D15" s="173">
        <f>SUM(K15-(K15*Capa!$C$1))</f>
        <v>18.63</v>
      </c>
      <c r="E15" s="173">
        <f>SUM(L15-(L15*Capa!$C$1))</f>
        <v>18.63</v>
      </c>
      <c r="F15" s="173">
        <f>SUM(M15-(M15*Capa!$C$1))</f>
        <v>18.63</v>
      </c>
      <c r="G15" s="173">
        <f>SUM(N15-(N15*Capa!$C$1))</f>
        <v>18.63</v>
      </c>
      <c r="H15" s="173">
        <f>SUM(O15-(O15*Capa!$C$1))</f>
        <v>18.63</v>
      </c>
      <c r="I15" s="174">
        <f>SUM(P15-(P15*Capa!$C$1))</f>
        <v>18.63</v>
      </c>
      <c r="K15" s="399">
        <v>18.63</v>
      </c>
      <c r="L15" s="399">
        <v>18.63</v>
      </c>
      <c r="M15" s="399">
        <v>18.63</v>
      </c>
      <c r="N15" s="399">
        <v>18.63</v>
      </c>
      <c r="O15" s="399">
        <v>18.63</v>
      </c>
      <c r="P15" s="399">
        <v>18.63</v>
      </c>
      <c r="Q15" s="49"/>
    </row>
    <row r="16" spans="1:17" s="74" customFormat="1" ht="12" customHeight="1" x14ac:dyDescent="0.2">
      <c r="A16" s="188" t="s">
        <v>208</v>
      </c>
      <c r="B16" s="736" t="s">
        <v>209</v>
      </c>
      <c r="C16" s="736"/>
      <c r="D16" s="190">
        <f>SUM(K16-(K16*Capa!$C$1))</f>
        <v>20.34</v>
      </c>
      <c r="E16" s="190">
        <f>SUM(L16-(L16*Capa!$C$1))</f>
        <v>20.34</v>
      </c>
      <c r="F16" s="190">
        <f>SUM(M16-(M16*Capa!$C$1))</f>
        <v>20.34</v>
      </c>
      <c r="G16" s="190">
        <f>SUM(N16-(N16*Capa!$C$1))</f>
        <v>20.34</v>
      </c>
      <c r="H16" s="245" t="s">
        <v>139</v>
      </c>
      <c r="I16" s="246" t="s">
        <v>139</v>
      </c>
      <c r="K16" s="403">
        <v>20.34</v>
      </c>
      <c r="L16" s="403">
        <v>20.34</v>
      </c>
      <c r="M16" s="403">
        <v>20.34</v>
      </c>
      <c r="N16" s="403">
        <v>20.34</v>
      </c>
      <c r="O16" s="404" t="s">
        <v>139</v>
      </c>
      <c r="P16" s="405" t="s">
        <v>139</v>
      </c>
      <c r="Q16" s="49"/>
    </row>
    <row r="17" spans="1:17" s="74" customFormat="1" ht="12" customHeight="1" x14ac:dyDescent="0.2">
      <c r="A17" s="75" t="s">
        <v>52</v>
      </c>
      <c r="B17" s="742" t="s">
        <v>399</v>
      </c>
      <c r="C17" s="742"/>
      <c r="D17" s="173">
        <f>SUM(K17-(K17*Capa!$C$1))</f>
        <v>13.33</v>
      </c>
      <c r="E17" s="173">
        <f>SUM(L17-(L17*Capa!$C$1))</f>
        <v>13.33</v>
      </c>
      <c r="F17" s="173">
        <f>SUM(M17-(M17*Capa!$C$1))</f>
        <v>13.33</v>
      </c>
      <c r="G17" s="173">
        <f>SUM(N17-(N17*Capa!$C$1))</f>
        <v>13.33</v>
      </c>
      <c r="H17" s="173">
        <f>SUM(O17-(O17*Capa!$C$1))</f>
        <v>13.33</v>
      </c>
      <c r="I17" s="174">
        <f>SUM(P17-(P17*Capa!$C$1))</f>
        <v>13.33</v>
      </c>
      <c r="K17" s="399">
        <v>13.33</v>
      </c>
      <c r="L17" s="399">
        <v>13.33</v>
      </c>
      <c r="M17" s="399">
        <v>13.33</v>
      </c>
      <c r="N17" s="399">
        <v>13.33</v>
      </c>
      <c r="O17" s="399">
        <v>13.33</v>
      </c>
      <c r="P17" s="399">
        <v>13.33</v>
      </c>
      <c r="Q17" s="49"/>
    </row>
    <row r="18" spans="1:17" s="74" customFormat="1" ht="12" customHeight="1" x14ac:dyDescent="0.2">
      <c r="A18" s="188" t="s">
        <v>84</v>
      </c>
      <c r="B18" s="740" t="s">
        <v>596</v>
      </c>
      <c r="C18" s="740"/>
      <c r="D18" s="190">
        <f>SUM(K18-(K18*Capa!$C$1))</f>
        <v>14.9</v>
      </c>
      <c r="E18" s="190">
        <f>SUM(L18-(L18*Capa!$C$1))</f>
        <v>14.9</v>
      </c>
      <c r="F18" s="190">
        <f>SUM(M18-(M18*Capa!$C$1))</f>
        <v>14.9</v>
      </c>
      <c r="G18" s="190">
        <f>SUM(N18-(N18*Capa!$C$1))</f>
        <v>14.9</v>
      </c>
      <c r="H18" s="190">
        <f>SUM(O18-(O18*Capa!$C$1))</f>
        <v>14.9</v>
      </c>
      <c r="I18" s="191">
        <f>SUM(P18-(P18*Capa!$C$1))</f>
        <v>14.9</v>
      </c>
      <c r="K18" s="401">
        <v>14.9</v>
      </c>
      <c r="L18" s="401">
        <v>14.9</v>
      </c>
      <c r="M18" s="401">
        <v>14.9</v>
      </c>
      <c r="N18" s="401">
        <v>14.9</v>
      </c>
      <c r="O18" s="401">
        <v>14.9</v>
      </c>
      <c r="P18" s="401">
        <v>14.9</v>
      </c>
      <c r="Q18" s="49"/>
    </row>
    <row r="19" spans="1:17" s="74" customFormat="1" ht="12" customHeight="1" x14ac:dyDescent="0.2">
      <c r="A19" s="75" t="s">
        <v>61</v>
      </c>
      <c r="B19" s="741" t="s">
        <v>181</v>
      </c>
      <c r="C19" s="741"/>
      <c r="D19" s="173">
        <f>SUM(K19-(K19*Capa!$C$1))</f>
        <v>17.100000000000001</v>
      </c>
      <c r="E19" s="173">
        <f>SUM(L19-(L19*Capa!$C$1))</f>
        <v>17.100000000000001</v>
      </c>
      <c r="F19" s="173">
        <f>SUM(M19-(M19*Capa!$C$1))</f>
        <v>17.100000000000001</v>
      </c>
      <c r="G19" s="173">
        <f>SUM(N19-(N19*Capa!$C$1))</f>
        <v>17.100000000000001</v>
      </c>
      <c r="H19" s="97" t="s">
        <v>139</v>
      </c>
      <c r="I19" s="98" t="s">
        <v>139</v>
      </c>
      <c r="K19" s="399">
        <v>17.100000000000001</v>
      </c>
      <c r="L19" s="399">
        <v>17.100000000000001</v>
      </c>
      <c r="M19" s="399">
        <v>17.100000000000001</v>
      </c>
      <c r="N19" s="399">
        <v>17.100000000000001</v>
      </c>
      <c r="O19" s="406" t="s">
        <v>139</v>
      </c>
      <c r="P19" s="407" t="s">
        <v>139</v>
      </c>
      <c r="Q19" s="49"/>
    </row>
    <row r="20" spans="1:17" s="74" customFormat="1" ht="12" customHeight="1" x14ac:dyDescent="0.2">
      <c r="A20" s="188" t="s">
        <v>53</v>
      </c>
      <c r="B20" s="743" t="s">
        <v>395</v>
      </c>
      <c r="C20" s="743"/>
      <c r="D20" s="190">
        <f>SUM(K20-(K20*Capa!$C$1))</f>
        <v>11.8</v>
      </c>
      <c r="E20" s="190">
        <f>SUM(L20-(L20*Capa!$C$1))</f>
        <v>11.8</v>
      </c>
      <c r="F20" s="190">
        <f>SUM(M20-(M20*Capa!$C$1))</f>
        <v>11.8</v>
      </c>
      <c r="G20" s="190">
        <f>SUM(N20-(N20*Capa!$C$1))</f>
        <v>11.8</v>
      </c>
      <c r="H20" s="245" t="s">
        <v>139</v>
      </c>
      <c r="I20" s="246" t="s">
        <v>139</v>
      </c>
      <c r="K20" s="401">
        <v>11.8</v>
      </c>
      <c r="L20" s="401">
        <v>11.8</v>
      </c>
      <c r="M20" s="401">
        <v>11.8</v>
      </c>
      <c r="N20" s="401">
        <v>11.8</v>
      </c>
      <c r="O20" s="408" t="s">
        <v>139</v>
      </c>
      <c r="P20" s="409" t="s">
        <v>139</v>
      </c>
      <c r="Q20" s="49"/>
    </row>
    <row r="21" spans="1:17" s="74" customFormat="1" ht="12" customHeight="1" x14ac:dyDescent="0.2">
      <c r="A21" s="75" t="s">
        <v>210</v>
      </c>
      <c r="B21" s="735" t="s">
        <v>390</v>
      </c>
      <c r="C21" s="735"/>
      <c r="D21" s="173">
        <f>SUM(K21-(K21*Capa!$C$1))</f>
        <v>5.62</v>
      </c>
      <c r="E21" s="173">
        <f>SUM(L21-(L21*Capa!$C$1))</f>
        <v>5.62</v>
      </c>
      <c r="F21" s="173">
        <f>SUM(M21-(M21*Capa!$C$1))</f>
        <v>5.62</v>
      </c>
      <c r="G21" s="173">
        <f>SUM(N21-(N21*Capa!$C$1))</f>
        <v>5.62</v>
      </c>
      <c r="H21" s="81" t="s">
        <v>139</v>
      </c>
      <c r="I21" s="82" t="s">
        <v>139</v>
      </c>
      <c r="K21" s="410">
        <v>5.62</v>
      </c>
      <c r="L21" s="410">
        <v>5.62</v>
      </c>
      <c r="M21" s="410">
        <v>5.62</v>
      </c>
      <c r="N21" s="410">
        <v>5.62</v>
      </c>
      <c r="O21" s="411" t="s">
        <v>139</v>
      </c>
      <c r="P21" s="412" t="s">
        <v>139</v>
      </c>
      <c r="Q21" s="49"/>
    </row>
    <row r="22" spans="1:17" s="74" customFormat="1" ht="12" customHeight="1" x14ac:dyDescent="0.2">
      <c r="A22" s="188" t="s">
        <v>49</v>
      </c>
      <c r="B22" s="743" t="s">
        <v>396</v>
      </c>
      <c r="C22" s="743"/>
      <c r="D22" s="190">
        <f>SUM(K22-(K22*Capa!$C$1))</f>
        <v>16.59</v>
      </c>
      <c r="E22" s="190">
        <f>SUM(L22-(L22*Capa!$C$1))</f>
        <v>16.59</v>
      </c>
      <c r="F22" s="190">
        <f>SUM(M22-(M22*Capa!$C$1))</f>
        <v>16.59</v>
      </c>
      <c r="G22" s="190">
        <f>SUM(N22-(N22*Capa!$C$1))</f>
        <v>16.59</v>
      </c>
      <c r="H22" s="190">
        <f>SUM(O22-(O22*Capa!$C$1))</f>
        <v>16.59</v>
      </c>
      <c r="I22" s="191">
        <f>SUM(P22-(P22*Capa!$C$1))</f>
        <v>16.59</v>
      </c>
      <c r="K22" s="401">
        <v>16.59</v>
      </c>
      <c r="L22" s="401">
        <v>16.59</v>
      </c>
      <c r="M22" s="401">
        <v>16.59</v>
      </c>
      <c r="N22" s="401">
        <v>16.59</v>
      </c>
      <c r="O22" s="401">
        <v>16.59</v>
      </c>
      <c r="P22" s="401">
        <v>16.59</v>
      </c>
      <c r="Q22" s="49"/>
    </row>
    <row r="23" spans="1:17" s="74" customFormat="1" ht="12" customHeight="1" x14ac:dyDescent="0.2">
      <c r="A23" s="75" t="s">
        <v>48</v>
      </c>
      <c r="B23" s="742" t="s">
        <v>397</v>
      </c>
      <c r="C23" s="742"/>
      <c r="D23" s="173">
        <f>SUM(K23-(K23*Capa!$C$1))</f>
        <v>17.61</v>
      </c>
      <c r="E23" s="173">
        <f>SUM(L23-(L23*Capa!$C$1))</f>
        <v>17.61</v>
      </c>
      <c r="F23" s="173">
        <f>SUM(M23-(M23*Capa!$C$1))</f>
        <v>17.61</v>
      </c>
      <c r="G23" s="173">
        <f>SUM(N23-(N23*Capa!$C$1))</f>
        <v>17.61</v>
      </c>
      <c r="H23" s="173">
        <f>SUM(O23-(O23*Capa!$C$1))</f>
        <v>17.61</v>
      </c>
      <c r="I23" s="174">
        <f>SUM(P23-(P23*Capa!$C$1))</f>
        <v>17.61</v>
      </c>
      <c r="K23" s="399">
        <v>17.61</v>
      </c>
      <c r="L23" s="399">
        <v>17.61</v>
      </c>
      <c r="M23" s="399">
        <v>17.61</v>
      </c>
      <c r="N23" s="399">
        <v>17.61</v>
      </c>
      <c r="O23" s="399">
        <v>17.61</v>
      </c>
      <c r="P23" s="399">
        <v>17.61</v>
      </c>
      <c r="Q23" s="49"/>
    </row>
    <row r="24" spans="1:17" s="74" customFormat="1" ht="12" customHeight="1" x14ac:dyDescent="0.2">
      <c r="A24" s="188" t="s">
        <v>83</v>
      </c>
      <c r="B24" s="743" t="s">
        <v>398</v>
      </c>
      <c r="C24" s="743"/>
      <c r="D24" s="190">
        <f>SUM(K24-(K24*Capa!$C$1))</f>
        <v>18.98</v>
      </c>
      <c r="E24" s="190">
        <f>SUM(L24-(L24*Capa!$C$1))</f>
        <v>18.98</v>
      </c>
      <c r="F24" s="190">
        <f>SUM(M24-(M24*Capa!$C$1))</f>
        <v>18.98</v>
      </c>
      <c r="G24" s="190">
        <f>SUM(N24-(N24*Capa!$C$1))</f>
        <v>18.98</v>
      </c>
      <c r="H24" s="245" t="s">
        <v>139</v>
      </c>
      <c r="I24" s="246" t="s">
        <v>139</v>
      </c>
      <c r="J24" s="122"/>
      <c r="K24" s="401">
        <v>18.98</v>
      </c>
      <c r="L24" s="401">
        <v>18.98</v>
      </c>
      <c r="M24" s="401">
        <v>18.98</v>
      </c>
      <c r="N24" s="401">
        <v>18.98</v>
      </c>
      <c r="O24" s="408" t="s">
        <v>139</v>
      </c>
      <c r="P24" s="409" t="s">
        <v>139</v>
      </c>
      <c r="Q24" s="49"/>
    </row>
    <row r="25" spans="1:17" s="74" customFormat="1" ht="12" customHeight="1" x14ac:dyDescent="0.2">
      <c r="A25" s="75" t="s">
        <v>59</v>
      </c>
      <c r="B25" s="742" t="s">
        <v>180</v>
      </c>
      <c r="C25" s="742"/>
      <c r="D25" s="173">
        <f>SUM(K25-(K25*Capa!$C$1))</f>
        <v>19.98</v>
      </c>
      <c r="E25" s="173">
        <f>SUM(L25-(L25*Capa!$C$1))</f>
        <v>19.98</v>
      </c>
      <c r="F25" s="173">
        <f>SUM(M25-(M25*Capa!$C$1))</f>
        <v>19.98</v>
      </c>
      <c r="G25" s="173">
        <f>SUM(N25-(N25*Capa!$C$1))</f>
        <v>19.98</v>
      </c>
      <c r="H25" s="81" t="s">
        <v>139</v>
      </c>
      <c r="I25" s="82" t="s">
        <v>139</v>
      </c>
      <c r="K25" s="399">
        <v>19.98</v>
      </c>
      <c r="L25" s="399">
        <v>19.98</v>
      </c>
      <c r="M25" s="399">
        <v>19.98</v>
      </c>
      <c r="N25" s="399">
        <v>19.98</v>
      </c>
      <c r="O25" s="406" t="s">
        <v>139</v>
      </c>
      <c r="P25" s="407" t="s">
        <v>139</v>
      </c>
      <c r="Q25" s="49"/>
    </row>
    <row r="26" spans="1:17" s="74" customFormat="1" ht="12" customHeight="1" x14ac:dyDescent="0.2">
      <c r="A26" s="188" t="s">
        <v>60</v>
      </c>
      <c r="B26" s="743" t="s">
        <v>401</v>
      </c>
      <c r="C26" s="743"/>
      <c r="D26" s="190">
        <f>SUM(K26-(K26*Capa!$C$1))</f>
        <v>20.34</v>
      </c>
      <c r="E26" s="190">
        <f>SUM(L26-(L26*Capa!$C$1))</f>
        <v>20.34</v>
      </c>
      <c r="F26" s="190">
        <f>SUM(M26-(M26*Capa!$C$1))</f>
        <v>20.34</v>
      </c>
      <c r="G26" s="190">
        <f>SUM(N26-(N26*Capa!$C$1))</f>
        <v>20.34</v>
      </c>
      <c r="H26" s="190">
        <f>SUM(O26-(O26*Capa!$C$1))</f>
        <v>20.34</v>
      </c>
      <c r="I26" s="191">
        <f>SUM(P26-(P26*Capa!$C$1))</f>
        <v>20.34</v>
      </c>
      <c r="K26" s="401">
        <v>20.34</v>
      </c>
      <c r="L26" s="401">
        <v>20.34</v>
      </c>
      <c r="M26" s="401">
        <v>20.34</v>
      </c>
      <c r="N26" s="401">
        <v>20.34</v>
      </c>
      <c r="O26" s="401">
        <v>20.34</v>
      </c>
      <c r="P26" s="401">
        <v>20.34</v>
      </c>
      <c r="Q26" s="49"/>
    </row>
    <row r="27" spans="1:17" s="74" customFormat="1" ht="12" customHeight="1" x14ac:dyDescent="0.2">
      <c r="A27" s="75" t="s">
        <v>50</v>
      </c>
      <c r="B27" s="457" t="s">
        <v>402</v>
      </c>
      <c r="C27" s="457"/>
      <c r="D27" s="173">
        <f>SUM(K27-(K27*Capa!$C$1))</f>
        <v>22.43</v>
      </c>
      <c r="E27" s="173">
        <f>SUM(L27-(L27*Capa!$C$1))</f>
        <v>22.43</v>
      </c>
      <c r="F27" s="173">
        <f>SUM(M27-(M27*Capa!$C$1))</f>
        <v>22.43</v>
      </c>
      <c r="G27" s="173">
        <f>SUM(N27-(N27*Capa!$C$1))</f>
        <v>22.43</v>
      </c>
      <c r="H27" s="76" t="s">
        <v>139</v>
      </c>
      <c r="I27" s="77" t="s">
        <v>139</v>
      </c>
      <c r="K27" s="399">
        <v>22.43</v>
      </c>
      <c r="L27" s="399">
        <v>22.43</v>
      </c>
      <c r="M27" s="399">
        <v>22.43</v>
      </c>
      <c r="N27" s="399">
        <v>22.43</v>
      </c>
      <c r="O27" s="406" t="s">
        <v>139</v>
      </c>
      <c r="P27" s="407" t="s">
        <v>139</v>
      </c>
      <c r="Q27" s="49"/>
    </row>
    <row r="28" spans="1:17" s="74" customFormat="1" ht="12" customHeight="1" x14ac:dyDescent="0.2">
      <c r="A28" s="188" t="s">
        <v>58</v>
      </c>
      <c r="B28" s="740" t="s">
        <v>391</v>
      </c>
      <c r="C28" s="740"/>
      <c r="D28" s="190">
        <f>SUM(K28-(K28*Capa!$C$1))</f>
        <v>13.76</v>
      </c>
      <c r="E28" s="190">
        <f>SUM(L28-(L28*Capa!$C$1))</f>
        <v>13.76</v>
      </c>
      <c r="F28" s="190">
        <f>SUM(M28-(M28*Capa!$C$1))</f>
        <v>13.76</v>
      </c>
      <c r="G28" s="190">
        <f>SUM(N28-(N28*Capa!$C$1))</f>
        <v>13.76</v>
      </c>
      <c r="H28" s="190">
        <f>SUM(O28-(O28*Capa!$C$1))</f>
        <v>13.76</v>
      </c>
      <c r="I28" s="191">
        <f>SUM(P28-(P28*Capa!$C$1))</f>
        <v>13.76</v>
      </c>
      <c r="K28" s="401">
        <v>13.76</v>
      </c>
      <c r="L28" s="401">
        <v>13.76</v>
      </c>
      <c r="M28" s="401">
        <v>13.76</v>
      </c>
      <c r="N28" s="401">
        <v>13.76</v>
      </c>
      <c r="O28" s="401">
        <v>13.76</v>
      </c>
      <c r="P28" s="401">
        <v>13.76</v>
      </c>
      <c r="Q28" s="49"/>
    </row>
    <row r="29" spans="1:17" s="74" customFormat="1" ht="12" customHeight="1" x14ac:dyDescent="0.2">
      <c r="A29" s="75" t="s">
        <v>57</v>
      </c>
      <c r="B29" s="741" t="s">
        <v>392</v>
      </c>
      <c r="C29" s="741"/>
      <c r="D29" s="173">
        <f>SUM(K29-(K29*Capa!$C$1))</f>
        <v>14.48</v>
      </c>
      <c r="E29" s="173">
        <f>SUM(L29-(L29*Capa!$C$1))</f>
        <v>14.48</v>
      </c>
      <c r="F29" s="173">
        <f>SUM(M29-(M29*Capa!$C$1))</f>
        <v>14.48</v>
      </c>
      <c r="G29" s="173">
        <f>SUM(N29-(N29*Capa!$C$1))</f>
        <v>14.48</v>
      </c>
      <c r="H29" s="173">
        <f>SUM(O29-(O29*Capa!$C$1))</f>
        <v>14.48</v>
      </c>
      <c r="I29" s="174">
        <f>SUM(P29-(P29*Capa!$C$1))</f>
        <v>14.48</v>
      </c>
      <c r="K29" s="399">
        <v>14.48</v>
      </c>
      <c r="L29" s="399">
        <v>14.48</v>
      </c>
      <c r="M29" s="399">
        <v>14.48</v>
      </c>
      <c r="N29" s="399">
        <v>14.48</v>
      </c>
      <c r="O29" s="399">
        <v>14.48</v>
      </c>
      <c r="P29" s="399">
        <v>14.48</v>
      </c>
      <c r="Q29" s="49"/>
    </row>
    <row r="30" spans="1:17" s="74" customFormat="1" ht="12" customHeight="1" x14ac:dyDescent="0.2">
      <c r="A30" s="188" t="s">
        <v>55</v>
      </c>
      <c r="B30" s="740" t="s">
        <v>393</v>
      </c>
      <c r="C30" s="740"/>
      <c r="D30" s="190">
        <f>SUM(K30-(K30*Capa!$C$1))</f>
        <v>17.95</v>
      </c>
      <c r="E30" s="190">
        <f>SUM(L30-(L30*Capa!$C$1))</f>
        <v>17.95</v>
      </c>
      <c r="F30" s="190">
        <f>SUM(M30-(M30*Capa!$C$1))</f>
        <v>17.95</v>
      </c>
      <c r="G30" s="190">
        <f>SUM(N30-(N30*Capa!$C$1))</f>
        <v>17.95</v>
      </c>
      <c r="H30" s="190">
        <f>SUM(O30-(O30*Capa!$C$1))</f>
        <v>17.95</v>
      </c>
      <c r="I30" s="191">
        <f>SUM(P30-(P30*Capa!$C$1))</f>
        <v>17.95</v>
      </c>
      <c r="K30" s="401">
        <v>17.95</v>
      </c>
      <c r="L30" s="401">
        <v>17.95</v>
      </c>
      <c r="M30" s="401">
        <v>17.95</v>
      </c>
      <c r="N30" s="401">
        <v>17.95</v>
      </c>
      <c r="O30" s="401">
        <v>17.95</v>
      </c>
      <c r="P30" s="401">
        <v>17.95</v>
      </c>
      <c r="Q30" s="49"/>
    </row>
    <row r="31" spans="1:17" s="74" customFormat="1" ht="12" customHeight="1" x14ac:dyDescent="0.2">
      <c r="A31" s="75" t="s">
        <v>54</v>
      </c>
      <c r="B31" s="742" t="s">
        <v>403</v>
      </c>
      <c r="C31" s="742"/>
      <c r="D31" s="173">
        <f>SUM(K31-(K31*Capa!$C$1))</f>
        <v>18.29</v>
      </c>
      <c r="E31" s="173">
        <f>SUM(L31-(L31*Capa!$C$1))</f>
        <v>18.29</v>
      </c>
      <c r="F31" s="173">
        <f>SUM(M31-(M31*Capa!$C$1))</f>
        <v>18.29</v>
      </c>
      <c r="G31" s="173">
        <f>SUM(N31-(N31*Capa!$C$1))</f>
        <v>18.29</v>
      </c>
      <c r="H31" s="173">
        <f>SUM(O31-(O31*Capa!$C$1))</f>
        <v>18.29</v>
      </c>
      <c r="I31" s="174">
        <f>SUM(P31-(P31*Capa!$C$1))</f>
        <v>18.29</v>
      </c>
      <c r="K31" s="399">
        <v>18.29</v>
      </c>
      <c r="L31" s="399">
        <v>18.29</v>
      </c>
      <c r="M31" s="399">
        <v>18.29</v>
      </c>
      <c r="N31" s="399">
        <v>18.29</v>
      </c>
      <c r="O31" s="399">
        <v>18.29</v>
      </c>
      <c r="P31" s="399">
        <v>18.29</v>
      </c>
      <c r="Q31" s="49"/>
    </row>
    <row r="32" spans="1:17" s="74" customFormat="1" ht="12" customHeight="1" x14ac:dyDescent="0.2">
      <c r="A32" s="188" t="s">
        <v>56</v>
      </c>
      <c r="B32" s="740" t="s">
        <v>394</v>
      </c>
      <c r="C32" s="740"/>
      <c r="D32" s="190">
        <f>SUM(K32-(K32*Capa!$C$1))</f>
        <v>18.72</v>
      </c>
      <c r="E32" s="190">
        <f>SUM(L32-(L32*Capa!$C$1))</f>
        <v>18.72</v>
      </c>
      <c r="F32" s="190">
        <f>SUM(M32-(M32*Capa!$C$1))</f>
        <v>18.72</v>
      </c>
      <c r="G32" s="190">
        <f>SUM(N32-(N32*Capa!$C$1))</f>
        <v>18.72</v>
      </c>
      <c r="H32" s="248" t="s">
        <v>139</v>
      </c>
      <c r="I32" s="249" t="s">
        <v>139</v>
      </c>
      <c r="K32" s="401">
        <v>18.72</v>
      </c>
      <c r="L32" s="401">
        <v>18.72</v>
      </c>
      <c r="M32" s="401">
        <v>18.72</v>
      </c>
      <c r="N32" s="401">
        <v>18.72</v>
      </c>
      <c r="O32" s="408" t="s">
        <v>139</v>
      </c>
      <c r="P32" s="409" t="s">
        <v>139</v>
      </c>
      <c r="Q32" s="49"/>
    </row>
    <row r="33" spans="1:17" s="74" customFormat="1" ht="12" customHeight="1" x14ac:dyDescent="0.2">
      <c r="A33" s="75" t="s">
        <v>211</v>
      </c>
      <c r="B33" s="735" t="s">
        <v>212</v>
      </c>
      <c r="C33" s="735"/>
      <c r="D33" s="173">
        <f>SUM(K33-(K33*Capa!$C$1))</f>
        <v>7.99</v>
      </c>
      <c r="E33" s="173">
        <f>SUM(L33-(L33*Capa!$C$1))</f>
        <v>7.99</v>
      </c>
      <c r="F33" s="173">
        <f>SUM(M33-(M33*Capa!$C$1))</f>
        <v>7.99</v>
      </c>
      <c r="G33" s="173">
        <f>SUM(N33-(N33*Capa!$C$1))</f>
        <v>7.99</v>
      </c>
      <c r="H33" s="173">
        <f>SUM(O33-(O33*Capa!$C$1))</f>
        <v>7.99</v>
      </c>
      <c r="I33" s="174">
        <f>SUM(P33-(P33*Capa!$C$1))</f>
        <v>7.99</v>
      </c>
      <c r="K33" s="410">
        <v>7.99</v>
      </c>
      <c r="L33" s="410">
        <v>7.99</v>
      </c>
      <c r="M33" s="410">
        <v>7.99</v>
      </c>
      <c r="N33" s="410">
        <v>7.99</v>
      </c>
      <c r="O33" s="410">
        <v>7.99</v>
      </c>
      <c r="P33" s="410">
        <v>7.99</v>
      </c>
      <c r="Q33" s="49"/>
    </row>
    <row r="34" spans="1:17" s="74" customFormat="1" ht="12" customHeight="1" x14ac:dyDescent="0.2">
      <c r="A34" s="188" t="s">
        <v>213</v>
      </c>
      <c r="B34" s="736" t="s">
        <v>214</v>
      </c>
      <c r="C34" s="736"/>
      <c r="D34" s="190">
        <f>SUM(K34-(K34*Capa!$C$1))</f>
        <v>6.68</v>
      </c>
      <c r="E34" s="190">
        <f>SUM(L34-(L34*Capa!$C$1))</f>
        <v>6.68</v>
      </c>
      <c r="F34" s="190">
        <f>SUM(M34-(M34*Capa!$C$1))</f>
        <v>6.68</v>
      </c>
      <c r="G34" s="190">
        <f>SUM(N34-(N34*Capa!$C$1))</f>
        <v>6.68</v>
      </c>
      <c r="H34" s="190">
        <f>SUM(O34-(O34*Capa!$C$1))</f>
        <v>6.68</v>
      </c>
      <c r="I34" s="191">
        <f>SUM(P34-(P34*Capa!$C$1))</f>
        <v>6.68</v>
      </c>
      <c r="K34" s="403">
        <v>6.68</v>
      </c>
      <c r="L34" s="403">
        <v>6.68</v>
      </c>
      <c r="M34" s="403">
        <v>6.68</v>
      </c>
      <c r="N34" s="403">
        <v>6.68</v>
      </c>
      <c r="O34" s="403">
        <v>6.68</v>
      </c>
      <c r="P34" s="403">
        <v>6.68</v>
      </c>
      <c r="Q34" s="49"/>
    </row>
    <row r="35" spans="1:17" s="74" customFormat="1" ht="12" customHeight="1" x14ac:dyDescent="0.2">
      <c r="A35" s="75" t="s">
        <v>279</v>
      </c>
      <c r="B35" s="735" t="s">
        <v>215</v>
      </c>
      <c r="C35" s="735"/>
      <c r="D35" s="173">
        <f>SUM(K35-(K35*Capa!$C$1))</f>
        <v>6.68</v>
      </c>
      <c r="E35" s="173">
        <f>SUM(L35-(L35*Capa!$C$1))</f>
        <v>6.68</v>
      </c>
      <c r="F35" s="173">
        <f>SUM(M35-(M35*Capa!$C$1))</f>
        <v>6.68</v>
      </c>
      <c r="G35" s="173">
        <f>SUM(N35-(N35*Capa!$C$1))</f>
        <v>6.68</v>
      </c>
      <c r="H35" s="81" t="s">
        <v>139</v>
      </c>
      <c r="I35" s="82" t="s">
        <v>139</v>
      </c>
      <c r="K35" s="410">
        <v>6.68</v>
      </c>
      <c r="L35" s="410">
        <v>6.68</v>
      </c>
      <c r="M35" s="410">
        <v>6.68</v>
      </c>
      <c r="N35" s="410">
        <v>6.68</v>
      </c>
      <c r="O35" s="411" t="s">
        <v>139</v>
      </c>
      <c r="P35" s="412" t="s">
        <v>139</v>
      </c>
      <c r="Q35" s="49"/>
    </row>
    <row r="36" spans="1:17" s="74" customFormat="1" ht="12" customHeight="1" x14ac:dyDescent="0.2">
      <c r="A36" s="188" t="s">
        <v>310</v>
      </c>
      <c r="B36" s="736" t="s">
        <v>312</v>
      </c>
      <c r="C36" s="736"/>
      <c r="D36" s="190">
        <f>SUM(K36-(K36*Capa!$C$1))</f>
        <v>11.88</v>
      </c>
      <c r="E36" s="190">
        <f>SUM(L36-(L36*Capa!$C$1))</f>
        <v>11.88</v>
      </c>
      <c r="F36" s="190">
        <f>SUM(M36-(M36*Capa!$C$1))</f>
        <v>11.88</v>
      </c>
      <c r="G36" s="190">
        <f>SUM(N36-(N36*Capa!$C$1))</f>
        <v>11.88</v>
      </c>
      <c r="H36" s="190">
        <f>SUM(O36-(O36*Capa!$C$1))</f>
        <v>11.88</v>
      </c>
      <c r="I36" s="191">
        <f>SUM(P36-(P36*Capa!$C$1))</f>
        <v>11.88</v>
      </c>
      <c r="K36" s="413">
        <v>11.88</v>
      </c>
      <c r="L36" s="413">
        <v>11.88</v>
      </c>
      <c r="M36" s="413">
        <v>11.88</v>
      </c>
      <c r="N36" s="413">
        <v>11.88</v>
      </c>
      <c r="O36" s="413">
        <v>11.88</v>
      </c>
      <c r="P36" s="413">
        <v>11.88</v>
      </c>
      <c r="Q36" s="49"/>
    </row>
    <row r="37" spans="1:17" s="74" customFormat="1" ht="12" customHeight="1" x14ac:dyDescent="0.2">
      <c r="A37" s="75" t="s">
        <v>309</v>
      </c>
      <c r="B37" s="735" t="s">
        <v>311</v>
      </c>
      <c r="C37" s="735"/>
      <c r="D37" s="173">
        <f>SUM(K37-(K37*Capa!$C$1))</f>
        <v>9.33</v>
      </c>
      <c r="E37" s="173">
        <f>SUM(L37-(L37*Capa!$C$1))</f>
        <v>9.33</v>
      </c>
      <c r="F37" s="173">
        <f>SUM(M37-(M37*Capa!$C$1))</f>
        <v>9.33</v>
      </c>
      <c r="G37" s="173">
        <f>SUM(N37-(N37*Capa!$C$1))</f>
        <v>9.33</v>
      </c>
      <c r="H37" s="173">
        <f>SUM(O37-(O37*Capa!$C$1))</f>
        <v>9.33</v>
      </c>
      <c r="I37" s="174">
        <f>SUM(P37-(P37*Capa!$C$1))</f>
        <v>9.33</v>
      </c>
      <c r="K37" s="467">
        <v>9.33</v>
      </c>
      <c r="L37" s="410">
        <v>9.33</v>
      </c>
      <c r="M37" s="410">
        <v>9.33</v>
      </c>
      <c r="N37" s="467">
        <v>9.33</v>
      </c>
      <c r="O37" s="410">
        <v>9.33</v>
      </c>
      <c r="P37" s="410">
        <v>9.33</v>
      </c>
      <c r="Q37" s="49"/>
    </row>
    <row r="38" spans="1:17" s="74" customFormat="1" ht="12" customHeight="1" x14ac:dyDescent="0.2">
      <c r="A38" s="188" t="s">
        <v>255</v>
      </c>
      <c r="B38" s="736" t="s">
        <v>256</v>
      </c>
      <c r="C38" s="736"/>
      <c r="D38" s="190">
        <f>SUM(K38-(K38*Capa!$C$1))</f>
        <v>5.47</v>
      </c>
      <c r="E38" s="190">
        <f>SUM(L38-(L38*Capa!$C$1))</f>
        <v>5.47</v>
      </c>
      <c r="F38" s="190">
        <f>SUM(M38-(M38*Capa!$C$1))</f>
        <v>5.47</v>
      </c>
      <c r="G38" s="190">
        <f>SUM(N38-(N38*Capa!$C$1))</f>
        <v>5.47</v>
      </c>
      <c r="H38" s="190">
        <f>SUM(O38-(O38*Capa!$C$1))</f>
        <v>5.47</v>
      </c>
      <c r="I38" s="191">
        <f>SUM(P38-(P38*Capa!$C$1))</f>
        <v>5.47</v>
      </c>
      <c r="K38" s="413">
        <v>5.47</v>
      </c>
      <c r="L38" s="413">
        <v>5.47</v>
      </c>
      <c r="M38" s="413">
        <v>5.47</v>
      </c>
      <c r="N38" s="413">
        <v>5.47</v>
      </c>
      <c r="O38" s="413">
        <v>5.47</v>
      </c>
      <c r="P38" s="413">
        <v>5.47</v>
      </c>
      <c r="Q38" s="49"/>
    </row>
    <row r="39" spans="1:17" s="85" customFormat="1" ht="30" customHeight="1" thickBot="1" x14ac:dyDescent="0.4">
      <c r="A39" s="737" t="s">
        <v>433</v>
      </c>
      <c r="B39" s="738"/>
      <c r="C39" s="738"/>
      <c r="D39" s="738"/>
      <c r="E39" s="738"/>
      <c r="F39" s="738"/>
      <c r="G39" s="738"/>
      <c r="H39" s="738"/>
      <c r="I39" s="739"/>
      <c r="K39" s="237"/>
      <c r="L39" s="238"/>
      <c r="M39" s="239"/>
      <c r="N39" s="238"/>
      <c r="O39" s="238"/>
      <c r="P39" s="240"/>
      <c r="Q39" s="49"/>
    </row>
    <row r="40" spans="1:17" ht="12" customHeight="1" x14ac:dyDescent="0.25">
      <c r="A40" s="212" t="s">
        <v>113</v>
      </c>
      <c r="B40" s="562" t="s">
        <v>114</v>
      </c>
      <c r="C40" s="562"/>
      <c r="D40" s="230" t="s">
        <v>75</v>
      </c>
      <c r="E40" s="230" t="s">
        <v>76</v>
      </c>
      <c r="F40" s="231" t="s">
        <v>93</v>
      </c>
      <c r="G40" s="230" t="s">
        <v>580</v>
      </c>
      <c r="H40" s="230" t="s">
        <v>16</v>
      </c>
      <c r="I40" s="232" t="s">
        <v>144</v>
      </c>
      <c r="K40" s="233" t="s">
        <v>75</v>
      </c>
      <c r="L40" s="234" t="s">
        <v>76</v>
      </c>
      <c r="M40" s="235" t="s">
        <v>93</v>
      </c>
      <c r="N40" s="234" t="s">
        <v>77</v>
      </c>
      <c r="O40" s="234" t="s">
        <v>16</v>
      </c>
      <c r="P40" s="236" t="s">
        <v>144</v>
      </c>
    </row>
    <row r="41" spans="1:17" s="74" customFormat="1" ht="12" customHeight="1" x14ac:dyDescent="0.2">
      <c r="A41" s="75" t="s">
        <v>216</v>
      </c>
      <c r="B41" s="735" t="s">
        <v>221</v>
      </c>
      <c r="C41" s="735"/>
      <c r="D41" s="173">
        <f>SUM(K41-(K41*Capa!$C$1))</f>
        <v>21.1</v>
      </c>
      <c r="E41" s="173">
        <f>SUM(L41-(L41*Capa!$C$1))</f>
        <v>21.1</v>
      </c>
      <c r="F41" s="173">
        <f>SUM(M41-(M41*Capa!$C$1))</f>
        <v>21.1</v>
      </c>
      <c r="G41" s="173">
        <f>SUM(N41-(N41*Capa!$C$1))</f>
        <v>21.1</v>
      </c>
      <c r="H41" s="173">
        <f>SUM(O41-(O41*Capa!$C$1))</f>
        <v>21.1</v>
      </c>
      <c r="I41" s="174">
        <f>SUM(P41-(P41*Capa!$C$1))</f>
        <v>21.1</v>
      </c>
      <c r="K41" s="165">
        <v>21.1</v>
      </c>
      <c r="L41" s="165">
        <v>21.1</v>
      </c>
      <c r="M41" s="165">
        <v>21.1</v>
      </c>
      <c r="N41" s="165">
        <v>21.1</v>
      </c>
      <c r="O41" s="165">
        <v>21.1</v>
      </c>
      <c r="P41" s="165">
        <v>21.1</v>
      </c>
      <c r="Q41" s="49"/>
    </row>
    <row r="42" spans="1:17" s="74" customFormat="1" ht="12" customHeight="1" x14ac:dyDescent="0.2">
      <c r="A42" s="188" t="s">
        <v>217</v>
      </c>
      <c r="B42" s="736" t="s">
        <v>222</v>
      </c>
      <c r="C42" s="736"/>
      <c r="D42" s="190">
        <f>SUM(K42-(K42*Capa!$C$1))</f>
        <v>19.62</v>
      </c>
      <c r="E42" s="190">
        <f>SUM(L42-(L42*Capa!$C$1))</f>
        <v>19.62</v>
      </c>
      <c r="F42" s="190">
        <f>SUM(M42-(M42*Capa!$C$1))</f>
        <v>19.62</v>
      </c>
      <c r="G42" s="190">
        <f>SUM(N42-(N42*Capa!$C$1))</f>
        <v>19.62</v>
      </c>
      <c r="H42" s="190">
        <f>SUM(O42-(O42*Capa!$C$1))</f>
        <v>19.62</v>
      </c>
      <c r="I42" s="191">
        <f>SUM(P42-(P42*Capa!$C$1))</f>
        <v>19.62</v>
      </c>
      <c r="K42" s="192">
        <v>19.62</v>
      </c>
      <c r="L42" s="192">
        <v>19.62</v>
      </c>
      <c r="M42" s="192">
        <v>19.62</v>
      </c>
      <c r="N42" s="192">
        <v>19.62</v>
      </c>
      <c r="O42" s="192">
        <v>19.62</v>
      </c>
      <c r="P42" s="192">
        <v>19.62</v>
      </c>
      <c r="Q42" s="49"/>
    </row>
    <row r="43" spans="1:17" s="74" customFormat="1" ht="12" customHeight="1" x14ac:dyDescent="0.2">
      <c r="A43" s="75" t="s">
        <v>218</v>
      </c>
      <c r="B43" s="735" t="s">
        <v>448</v>
      </c>
      <c r="C43" s="735"/>
      <c r="D43" s="173">
        <f>SUM(K43-(K43*Capa!$C$1))</f>
        <v>29.95</v>
      </c>
      <c r="E43" s="173">
        <f>SUM(L43-(L43*Capa!$C$1))</f>
        <v>29.95</v>
      </c>
      <c r="F43" s="173">
        <f>SUM(M43-(M43*Capa!$C$1))</f>
        <v>29.95</v>
      </c>
      <c r="G43" s="173">
        <f>SUM(N43-(N43*Capa!$C$1))</f>
        <v>29.95</v>
      </c>
      <c r="H43" s="173">
        <f>SUM(O43-(O43*Capa!$C$1))</f>
        <v>29.95</v>
      </c>
      <c r="I43" s="174">
        <f>SUM(P43-(P43*Capa!$C$1))</f>
        <v>29.95</v>
      </c>
      <c r="K43" s="165">
        <v>29.95</v>
      </c>
      <c r="L43" s="165">
        <v>29.95</v>
      </c>
      <c r="M43" s="165">
        <v>29.95</v>
      </c>
      <c r="N43" s="165">
        <v>29.95</v>
      </c>
      <c r="O43" s="165">
        <v>29.95</v>
      </c>
      <c r="P43" s="165">
        <v>29.95</v>
      </c>
      <c r="Q43" s="49"/>
    </row>
    <row r="44" spans="1:17" s="74" customFormat="1" ht="12" customHeight="1" x14ac:dyDescent="0.2">
      <c r="A44" s="188" t="s">
        <v>219</v>
      </c>
      <c r="B44" s="736" t="s">
        <v>449</v>
      </c>
      <c r="C44" s="736"/>
      <c r="D44" s="190">
        <f>SUM(K44-(K44*Capa!$C$1))</f>
        <v>27.94</v>
      </c>
      <c r="E44" s="190">
        <f>SUM(L44-(L44*Capa!$C$1))</f>
        <v>27.94</v>
      </c>
      <c r="F44" s="190">
        <f>SUM(M44-(M44*Capa!$C$1))</f>
        <v>27.94</v>
      </c>
      <c r="G44" s="190">
        <f>SUM(N44-(N44*Capa!$C$1))</f>
        <v>27.94</v>
      </c>
      <c r="H44" s="190">
        <f>SUM(O44-(O44*Capa!$C$1))</f>
        <v>27.94</v>
      </c>
      <c r="I44" s="191">
        <f>SUM(P44-(P44*Capa!$C$1))</f>
        <v>27.94</v>
      </c>
      <c r="K44" s="192">
        <v>27.94</v>
      </c>
      <c r="L44" s="192">
        <v>27.94</v>
      </c>
      <c r="M44" s="192">
        <v>27.94</v>
      </c>
      <c r="N44" s="192">
        <v>27.94</v>
      </c>
      <c r="O44" s="192">
        <v>27.94</v>
      </c>
      <c r="P44" s="192">
        <v>27.94</v>
      </c>
      <c r="Q44" s="49"/>
    </row>
    <row r="45" spans="1:17" s="74" customFormat="1" ht="12" customHeight="1" x14ac:dyDescent="0.2">
      <c r="A45" s="75" t="s">
        <v>220</v>
      </c>
      <c r="B45" s="735" t="s">
        <v>404</v>
      </c>
      <c r="C45" s="735"/>
      <c r="D45" s="173">
        <f>SUM(K45-(K45*Capa!$C$1))</f>
        <v>41.66</v>
      </c>
      <c r="E45" s="173">
        <f>SUM(L45-(L45*Capa!$C$1))</f>
        <v>41.66</v>
      </c>
      <c r="F45" s="173">
        <f>SUM(M45-(M45*Capa!$C$1))</f>
        <v>41.66</v>
      </c>
      <c r="G45" s="173">
        <f>SUM(N45-(N45*Capa!$C$1))</f>
        <v>41.66</v>
      </c>
      <c r="H45" s="173">
        <f>SUM(O45-(O45*Capa!$C$1))</f>
        <v>41.66</v>
      </c>
      <c r="I45" s="174">
        <f>SUM(P45-(P45*Capa!$C$1))</f>
        <v>41.66</v>
      </c>
      <c r="K45" s="165">
        <v>41.66</v>
      </c>
      <c r="L45" s="165">
        <v>41.66</v>
      </c>
      <c r="M45" s="165">
        <v>41.66</v>
      </c>
      <c r="N45" s="165">
        <v>41.66</v>
      </c>
      <c r="O45" s="165">
        <v>41.66</v>
      </c>
      <c r="P45" s="165">
        <v>41.66</v>
      </c>
      <c r="Q45" s="49"/>
    </row>
    <row r="46" spans="1:17" s="85" customFormat="1" ht="30" customHeight="1" thickBot="1" x14ac:dyDescent="0.4">
      <c r="A46" s="737" t="s">
        <v>150</v>
      </c>
      <c r="B46" s="738"/>
      <c r="C46" s="738"/>
      <c r="D46" s="738"/>
      <c r="E46" s="738"/>
      <c r="F46" s="738"/>
      <c r="G46" s="738"/>
      <c r="H46" s="738"/>
      <c r="I46" s="739"/>
      <c r="K46" s="237"/>
      <c r="L46" s="238"/>
      <c r="M46" s="239"/>
      <c r="N46" s="238"/>
      <c r="O46" s="238"/>
      <c r="P46" s="240"/>
      <c r="Q46" s="49"/>
    </row>
    <row r="47" spans="1:17" ht="12" customHeight="1" x14ac:dyDescent="0.25">
      <c r="A47" s="212" t="s">
        <v>113</v>
      </c>
      <c r="B47" s="562" t="s">
        <v>114</v>
      </c>
      <c r="C47" s="562"/>
      <c r="D47" s="230" t="s">
        <v>75</v>
      </c>
      <c r="E47" s="230" t="s">
        <v>76</v>
      </c>
      <c r="F47" s="231" t="s">
        <v>93</v>
      </c>
      <c r="G47" s="230" t="s">
        <v>580</v>
      </c>
      <c r="H47" s="230" t="s">
        <v>16</v>
      </c>
      <c r="I47" s="232" t="s">
        <v>144</v>
      </c>
      <c r="K47" s="233" t="s">
        <v>75</v>
      </c>
      <c r="L47" s="234" t="s">
        <v>76</v>
      </c>
      <c r="M47" s="235" t="s">
        <v>93</v>
      </c>
      <c r="N47" s="234" t="s">
        <v>77</v>
      </c>
      <c r="O47" s="234" t="s">
        <v>16</v>
      </c>
      <c r="P47" s="236" t="s">
        <v>144</v>
      </c>
    </row>
    <row r="48" spans="1:17" s="74" customFormat="1" ht="12" customHeight="1" x14ac:dyDescent="0.2">
      <c r="A48" s="75" t="s">
        <v>239</v>
      </c>
      <c r="B48" s="702" t="s">
        <v>443</v>
      </c>
      <c r="C48" s="702"/>
      <c r="D48" s="173">
        <f>SUM(K48-(K48*Capa!$C$1))</f>
        <v>0.89</v>
      </c>
      <c r="E48" s="173">
        <f>SUM(L48-(L48*Capa!$C$1))</f>
        <v>0.68</v>
      </c>
      <c r="F48" s="173">
        <f>SUM(M48-(M48*Capa!$C$1))</f>
        <v>0.68</v>
      </c>
      <c r="G48" s="173">
        <f>SUM(N48-(N48*Capa!$C$1))</f>
        <v>0.68</v>
      </c>
      <c r="H48" s="173">
        <f>SUM(O48-(O48*Capa!$C$1))</f>
        <v>0.28999999999999998</v>
      </c>
      <c r="I48" s="174">
        <f>SUM(P48-(P48*Capa!$C$1))</f>
        <v>0.28999999999999998</v>
      </c>
      <c r="J48" s="121"/>
      <c r="K48" s="399">
        <v>0.89</v>
      </c>
      <c r="L48" s="400">
        <v>0.68</v>
      </c>
      <c r="M48" s="400">
        <v>0.68</v>
      </c>
      <c r="N48" s="400">
        <v>0.68</v>
      </c>
      <c r="O48" s="406">
        <v>0.28999999999999998</v>
      </c>
      <c r="P48" s="407">
        <v>0.28999999999999998</v>
      </c>
      <c r="Q48" s="49"/>
    </row>
    <row r="49" spans="1:17" s="74" customFormat="1" ht="12" customHeight="1" x14ac:dyDescent="0.2">
      <c r="A49" s="188" t="s">
        <v>238</v>
      </c>
      <c r="B49" s="701" t="s">
        <v>444</v>
      </c>
      <c r="C49" s="701"/>
      <c r="D49" s="190">
        <f>SUM(K49-(K49*Capa!$C$1))</f>
        <v>0.98</v>
      </c>
      <c r="E49" s="190">
        <f>SUM(L49-(L49*Capa!$C$1))</f>
        <v>0.76</v>
      </c>
      <c r="F49" s="190">
        <f>SUM(M49-(M49*Capa!$C$1))</f>
        <v>0.76</v>
      </c>
      <c r="G49" s="190">
        <f>SUM(N49-(N49*Capa!$C$1))</f>
        <v>0.76</v>
      </c>
      <c r="H49" s="190">
        <f>SUM(O49-(O49*Capa!$C$1))</f>
        <v>0.39</v>
      </c>
      <c r="I49" s="191">
        <f>SUM(P49-(P49*Capa!$C$1))</f>
        <v>0.39</v>
      </c>
      <c r="J49" s="121"/>
      <c r="K49" s="401">
        <v>0.98</v>
      </c>
      <c r="L49" s="402">
        <v>0.76</v>
      </c>
      <c r="M49" s="402">
        <v>0.76</v>
      </c>
      <c r="N49" s="402">
        <v>0.76</v>
      </c>
      <c r="O49" s="404">
        <v>0.39</v>
      </c>
      <c r="P49" s="405">
        <v>0.39</v>
      </c>
      <c r="Q49" s="49"/>
    </row>
    <row r="50" spans="1:17" s="74" customFormat="1" ht="12" customHeight="1" x14ac:dyDescent="0.2">
      <c r="A50" s="75" t="s">
        <v>4</v>
      </c>
      <c r="B50" s="735" t="s">
        <v>151</v>
      </c>
      <c r="C50" s="735"/>
      <c r="D50" s="173">
        <f>SUM(K50-(K50*Capa!$C$1))</f>
        <v>2.37</v>
      </c>
      <c r="E50" s="173">
        <f>SUM(L50-(L50*Capa!$C$1))</f>
        <v>2.37</v>
      </c>
      <c r="F50" s="173">
        <f>SUM(M50-(M50*Capa!$C$1))</f>
        <v>2.37</v>
      </c>
      <c r="G50" s="173">
        <f>SUM(N50-(N50*Capa!$C$1))</f>
        <v>2.37</v>
      </c>
      <c r="H50" s="76" t="s">
        <v>139</v>
      </c>
      <c r="I50" s="77" t="s">
        <v>139</v>
      </c>
      <c r="K50" s="399">
        <v>2.37</v>
      </c>
      <c r="L50" s="400">
        <v>2.37</v>
      </c>
      <c r="M50" s="400">
        <v>2.37</v>
      </c>
      <c r="N50" s="400">
        <v>2.37</v>
      </c>
      <c r="O50" s="176" t="s">
        <v>139</v>
      </c>
      <c r="P50" s="126" t="s">
        <v>139</v>
      </c>
      <c r="Q50" s="49"/>
    </row>
    <row r="51" spans="1:17" s="74" customFormat="1" ht="12" customHeight="1" x14ac:dyDescent="0.2">
      <c r="A51" s="188" t="s">
        <v>3</v>
      </c>
      <c r="B51" s="736" t="s">
        <v>152</v>
      </c>
      <c r="C51" s="736"/>
      <c r="D51" s="190">
        <f>SUM(K51-(K51*Capa!$C$1))</f>
        <v>2</v>
      </c>
      <c r="E51" s="190">
        <f>SUM(L51-(L51*Capa!$C$1))</f>
        <v>2</v>
      </c>
      <c r="F51" s="190">
        <f>SUM(M51-(M51*Capa!$C$1))</f>
        <v>2</v>
      </c>
      <c r="G51" s="190">
        <f>SUM(N51-(N51*Capa!$C$1))</f>
        <v>2</v>
      </c>
      <c r="H51" s="250" t="s">
        <v>139</v>
      </c>
      <c r="I51" s="251" t="s">
        <v>139</v>
      </c>
      <c r="K51" s="401">
        <v>2</v>
      </c>
      <c r="L51" s="402">
        <v>2</v>
      </c>
      <c r="M51" s="402">
        <v>2</v>
      </c>
      <c r="N51" s="402">
        <v>2</v>
      </c>
      <c r="O51" s="243" t="s">
        <v>139</v>
      </c>
      <c r="P51" s="194" t="s">
        <v>139</v>
      </c>
      <c r="Q51" s="49"/>
    </row>
    <row r="52" spans="1:17" s="74" customFormat="1" ht="12" customHeight="1" thickBot="1" x14ac:dyDescent="0.25">
      <c r="A52" s="75" t="s">
        <v>43</v>
      </c>
      <c r="B52" s="735" t="s">
        <v>153</v>
      </c>
      <c r="C52" s="735"/>
      <c r="D52" s="173">
        <f>SUM(K52-(K52*Capa!$C$1))</f>
        <v>1.89</v>
      </c>
      <c r="E52" s="173">
        <f>SUM(L52-(L52*Capa!$C$1))</f>
        <v>1.89</v>
      </c>
      <c r="F52" s="173">
        <f>SUM(M52-(M52*Capa!$C$1))</f>
        <v>1.89</v>
      </c>
      <c r="G52" s="173">
        <f>SUM(N52-(N52*Capa!$C$1))</f>
        <v>1.89</v>
      </c>
      <c r="H52" s="76" t="s">
        <v>139</v>
      </c>
      <c r="I52" s="77" t="s">
        <v>139</v>
      </c>
      <c r="K52" s="414">
        <v>1.89</v>
      </c>
      <c r="L52" s="415">
        <v>1.89</v>
      </c>
      <c r="M52" s="415">
        <v>1.89</v>
      </c>
      <c r="N52" s="415">
        <v>1.89</v>
      </c>
      <c r="O52" s="127" t="s">
        <v>139</v>
      </c>
      <c r="P52" s="128" t="s">
        <v>139</v>
      </c>
      <c r="Q52" s="49"/>
    </row>
    <row r="53" spans="1:17" s="131" customFormat="1" ht="30" customHeight="1" thickBot="1" x14ac:dyDescent="0.4">
      <c r="A53" s="744" t="s">
        <v>428</v>
      </c>
      <c r="B53" s="745"/>
      <c r="C53" s="745"/>
      <c r="D53" s="745"/>
      <c r="E53" s="745"/>
      <c r="F53" s="745"/>
      <c r="G53" s="745"/>
      <c r="H53" s="745"/>
      <c r="I53" s="746"/>
      <c r="J53" s="83"/>
      <c r="K53" s="106"/>
      <c r="L53" s="106"/>
      <c r="M53" s="106"/>
      <c r="N53" s="106"/>
      <c r="O53" s="106"/>
      <c r="P53" s="106"/>
      <c r="Q53" s="106"/>
    </row>
    <row r="54" spans="1:17" ht="12" customHeight="1" x14ac:dyDescent="0.25">
      <c r="A54" s="212" t="s">
        <v>113</v>
      </c>
      <c r="B54" s="213" t="s">
        <v>114</v>
      </c>
      <c r="C54" s="231" t="s">
        <v>455</v>
      </c>
      <c r="D54" s="230" t="s">
        <v>75</v>
      </c>
      <c r="E54" s="230" t="s">
        <v>76</v>
      </c>
      <c r="F54" s="231" t="s">
        <v>93</v>
      </c>
      <c r="G54" s="230" t="s">
        <v>580</v>
      </c>
      <c r="H54" s="230" t="s">
        <v>16</v>
      </c>
      <c r="I54" s="232" t="s">
        <v>144</v>
      </c>
      <c r="K54" s="254" t="s">
        <v>455</v>
      </c>
      <c r="L54" s="255" t="s">
        <v>75</v>
      </c>
      <c r="M54" s="255" t="s">
        <v>76</v>
      </c>
      <c r="N54" s="256" t="s">
        <v>93</v>
      </c>
      <c r="O54" s="255" t="s">
        <v>77</v>
      </c>
      <c r="P54" s="255" t="s">
        <v>16</v>
      </c>
      <c r="Q54" s="257" t="s">
        <v>144</v>
      </c>
    </row>
    <row r="55" spans="1:17" s="74" customFormat="1" ht="12" customHeight="1" x14ac:dyDescent="0.2">
      <c r="A55" s="75" t="s">
        <v>419</v>
      </c>
      <c r="B55" s="172" t="s">
        <v>420</v>
      </c>
      <c r="C55" s="119">
        <f>SUM(K55-(K55*Capa!$C$1))</f>
        <v>86.8</v>
      </c>
      <c r="D55" s="119">
        <f>SUM(L55-(L55*Capa!$C$1))</f>
        <v>117</v>
      </c>
      <c r="E55" s="119">
        <f>SUM(M55-(M55*Capa!$C$1))</f>
        <v>86.8</v>
      </c>
      <c r="F55" s="119">
        <f>SUM(N55-(N55*Capa!$C$1))</f>
        <v>32.1</v>
      </c>
      <c r="G55" s="119">
        <f>SUM(O55-(O55*Capa!$C$1))</f>
        <v>32.1</v>
      </c>
      <c r="H55" s="119">
        <f>SUM(P55-(P55*Capa!$C$1))</f>
        <v>32.1</v>
      </c>
      <c r="I55" s="120">
        <f>SUM(Q55-(Q55*Capa!$C$1))</f>
        <v>32.1</v>
      </c>
      <c r="K55" s="129">
        <v>86.8</v>
      </c>
      <c r="L55" s="118">
        <v>117</v>
      </c>
      <c r="M55" s="118">
        <v>86.8</v>
      </c>
      <c r="N55" s="118">
        <v>32.1</v>
      </c>
      <c r="O55" s="118">
        <v>32.1</v>
      </c>
      <c r="P55" s="118">
        <v>32.1</v>
      </c>
      <c r="Q55" s="118">
        <v>32.1</v>
      </c>
    </row>
    <row r="56" spans="1:17" s="74" customFormat="1" ht="12" customHeight="1" x14ac:dyDescent="0.2">
      <c r="A56" s="188" t="s">
        <v>421</v>
      </c>
      <c r="B56" s="189" t="s">
        <v>422</v>
      </c>
      <c r="C56" s="252">
        <f>SUM(K56-(K56*Capa!$C$1))</f>
        <v>79.900000000000006</v>
      </c>
      <c r="D56" s="252">
        <f>SUM(L56-(L56*Capa!$C$1))</f>
        <v>79.900000000000006</v>
      </c>
      <c r="E56" s="252">
        <f>SUM(M56-(M56*Capa!$C$1))</f>
        <v>79.900000000000006</v>
      </c>
      <c r="F56" s="252">
        <f>SUM(N56-(N56*Capa!$C$1))</f>
        <v>26.9</v>
      </c>
      <c r="G56" s="252">
        <f>SUM(O56-(O56*Capa!$C$1))</f>
        <v>26.9</v>
      </c>
      <c r="H56" s="252">
        <f>SUM(P56-(P56*Capa!$C$1))</f>
        <v>26.9</v>
      </c>
      <c r="I56" s="253">
        <f>SUM(Q56-(Q56*Capa!$C$1))</f>
        <v>26.9</v>
      </c>
      <c r="K56" s="258">
        <v>79.900000000000006</v>
      </c>
      <c r="L56" s="259">
        <v>79.900000000000006</v>
      </c>
      <c r="M56" s="259">
        <v>79.900000000000006</v>
      </c>
      <c r="N56" s="259">
        <v>26.9</v>
      </c>
      <c r="O56" s="259">
        <v>26.9</v>
      </c>
      <c r="P56" s="259">
        <v>26.9</v>
      </c>
      <c r="Q56" s="259">
        <v>26.9</v>
      </c>
    </row>
    <row r="57" spans="1:17" s="74" customFormat="1" ht="12" customHeight="1" x14ac:dyDescent="0.2">
      <c r="A57" s="75" t="s">
        <v>423</v>
      </c>
      <c r="B57" s="172" t="s">
        <v>424</v>
      </c>
      <c r="C57" s="119">
        <f>SUM(K57-(K57*Capa!$C$1))</f>
        <v>86.8</v>
      </c>
      <c r="D57" s="119">
        <f>SUM(L57-(L57*Capa!$C$1))</f>
        <v>117</v>
      </c>
      <c r="E57" s="119">
        <f>SUM(M57-(M57*Capa!$C$1))</f>
        <v>86.8</v>
      </c>
      <c r="F57" s="119">
        <f>SUM(N57-(N57*Capa!$C$1))</f>
        <v>32.1</v>
      </c>
      <c r="G57" s="119">
        <f>SUM(O57-(O57*Capa!$C$1))</f>
        <v>32.1</v>
      </c>
      <c r="H57" s="119">
        <f>SUM(P57-(P57*Capa!$C$1))</f>
        <v>32.1</v>
      </c>
      <c r="I57" s="120">
        <f>SUM(Q57-(Q57*Capa!$C$1))</f>
        <v>32.1</v>
      </c>
      <c r="K57" s="129">
        <v>86.8</v>
      </c>
      <c r="L57" s="118">
        <v>117</v>
      </c>
      <c r="M57" s="118">
        <v>86.8</v>
      </c>
      <c r="N57" s="118">
        <v>32.1</v>
      </c>
      <c r="O57" s="118">
        <v>32.1</v>
      </c>
      <c r="P57" s="118">
        <v>32.1</v>
      </c>
      <c r="Q57" s="118">
        <v>32.1</v>
      </c>
    </row>
    <row r="58" spans="1:17" s="74" customFormat="1" ht="12" customHeight="1" thickBot="1" x14ac:dyDescent="0.25">
      <c r="A58" s="188" t="s">
        <v>425</v>
      </c>
      <c r="B58" s="189" t="s">
        <v>426</v>
      </c>
      <c r="C58" s="252">
        <f>SUM(K58-(K58*Capa!$C$1))</f>
        <v>79.900000000000006</v>
      </c>
      <c r="D58" s="252">
        <f>SUM(L58-(L58*Capa!$C$1))</f>
        <v>79.900000000000006</v>
      </c>
      <c r="E58" s="252">
        <f>SUM(M58-(M58*Capa!$C$1))</f>
        <v>79.900000000000006</v>
      </c>
      <c r="F58" s="252">
        <f>SUM(N58-(N58*Capa!$C$1))</f>
        <v>26.9</v>
      </c>
      <c r="G58" s="252">
        <f>SUM(O58-(O58*Capa!$C$1))</f>
        <v>26.9</v>
      </c>
      <c r="H58" s="252">
        <f>SUM(P58-(P58*Capa!$C$1))</f>
        <v>26.9</v>
      </c>
      <c r="I58" s="253">
        <f>SUM(Q58-(Q58*Capa!$C$1))</f>
        <v>26.9</v>
      </c>
      <c r="K58" s="260">
        <v>79.900000000000006</v>
      </c>
      <c r="L58" s="261">
        <v>79.900000000000006</v>
      </c>
      <c r="M58" s="261">
        <v>79.900000000000006</v>
      </c>
      <c r="N58" s="261">
        <v>26.9</v>
      </c>
      <c r="O58" s="261">
        <v>26.9</v>
      </c>
      <c r="P58" s="261">
        <v>26.9</v>
      </c>
      <c r="Q58" s="261">
        <v>26.9</v>
      </c>
    </row>
    <row r="59" spans="1:17" s="132" customFormat="1" ht="30" customHeight="1" x14ac:dyDescent="0.2">
      <c r="A59" s="744" t="s">
        <v>195</v>
      </c>
      <c r="B59" s="745"/>
      <c r="C59" s="745"/>
      <c r="D59" s="745"/>
      <c r="E59" s="745"/>
      <c r="F59" s="745"/>
      <c r="G59" s="745"/>
      <c r="H59" s="745"/>
      <c r="I59" s="746"/>
      <c r="K59" s="124"/>
      <c r="L59" s="124"/>
      <c r="M59" s="124"/>
      <c r="N59" s="124"/>
      <c r="O59" s="124"/>
      <c r="P59" s="124"/>
      <c r="Q59" s="124"/>
    </row>
    <row r="60" spans="1:17" s="13" customFormat="1" ht="12" customHeight="1" thickBot="1" x14ac:dyDescent="0.25">
      <c r="A60" s="184" t="s">
        <v>113</v>
      </c>
      <c r="B60" s="756" t="s">
        <v>47</v>
      </c>
      <c r="C60" s="756"/>
      <c r="D60" s="756"/>
      <c r="E60" s="756"/>
      <c r="F60" s="756"/>
      <c r="G60" s="756"/>
      <c r="H60" s="685" t="s">
        <v>115</v>
      </c>
      <c r="I60" s="751"/>
      <c r="K60" s="124"/>
      <c r="L60" s="124"/>
      <c r="M60" s="124"/>
      <c r="N60" s="124"/>
      <c r="O60" s="123"/>
      <c r="P60" s="124"/>
      <c r="Q60" s="124"/>
    </row>
    <row r="61" spans="1:17" s="13" customFormat="1" ht="12" customHeight="1" x14ac:dyDescent="0.2">
      <c r="A61" s="75" t="s">
        <v>145</v>
      </c>
      <c r="B61" s="702" t="s">
        <v>197</v>
      </c>
      <c r="C61" s="702"/>
      <c r="D61" s="702"/>
      <c r="E61" s="702"/>
      <c r="F61" s="702"/>
      <c r="G61" s="702"/>
      <c r="H61" s="752">
        <f>SUM(K61-(K61*Capa!$C$1))</f>
        <v>1.2</v>
      </c>
      <c r="I61" s="753"/>
      <c r="K61" s="130">
        <v>1.2</v>
      </c>
      <c r="L61" s="124"/>
      <c r="M61" s="124"/>
      <c r="N61" s="124"/>
      <c r="O61" s="64"/>
      <c r="P61" s="124"/>
      <c r="Q61" s="124"/>
    </row>
    <row r="62" spans="1:17" s="13" customFormat="1" ht="12" customHeight="1" thickBot="1" x14ac:dyDescent="0.25">
      <c r="A62" s="263" t="s">
        <v>146</v>
      </c>
      <c r="B62" s="757" t="s">
        <v>198</v>
      </c>
      <c r="C62" s="757"/>
      <c r="D62" s="757"/>
      <c r="E62" s="757"/>
      <c r="F62" s="757"/>
      <c r="G62" s="757"/>
      <c r="H62" s="754">
        <f>SUM(K62-(K62*Capa!$C$1))</f>
        <v>1.6</v>
      </c>
      <c r="I62" s="755"/>
      <c r="K62" s="262">
        <v>1.6</v>
      </c>
      <c r="L62" s="124"/>
      <c r="M62" s="124"/>
      <c r="N62" s="124"/>
      <c r="O62" s="64"/>
      <c r="P62" s="124"/>
      <c r="Q62" s="124"/>
    </row>
  </sheetData>
  <sheetProtection sheet="1" objects="1" scenarios="1"/>
  <mergeCells count="62">
    <mergeCell ref="H10:I10"/>
    <mergeCell ref="A7:I7"/>
    <mergeCell ref="A8:G8"/>
    <mergeCell ref="A9:G9"/>
    <mergeCell ref="A10:G10"/>
    <mergeCell ref="H8:I8"/>
    <mergeCell ref="H9:I9"/>
    <mergeCell ref="A59:I59"/>
    <mergeCell ref="H60:I60"/>
    <mergeCell ref="H61:I61"/>
    <mergeCell ref="H62:I62"/>
    <mergeCell ref="B60:G60"/>
    <mergeCell ref="B61:G61"/>
    <mergeCell ref="B62:G62"/>
    <mergeCell ref="A1:I1"/>
    <mergeCell ref="B3:C3"/>
    <mergeCell ref="B4:C4"/>
    <mergeCell ref="B5:C5"/>
    <mergeCell ref="B6:C6"/>
    <mergeCell ref="A53:I53"/>
    <mergeCell ref="A11:I11"/>
    <mergeCell ref="A39:I39"/>
    <mergeCell ref="A2:I2"/>
    <mergeCell ref="B13:C13"/>
    <mergeCell ref="B14:C14"/>
    <mergeCell ref="B15:C15"/>
    <mergeCell ref="B16:C16"/>
    <mergeCell ref="B17:C17"/>
    <mergeCell ref="B12:C12"/>
    <mergeCell ref="B40:C40"/>
    <mergeCell ref="B47:C4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41:C41"/>
    <mergeCell ref="B42:C42"/>
    <mergeCell ref="B43:C43"/>
    <mergeCell ref="B51:C51"/>
    <mergeCell ref="B52:C52"/>
    <mergeCell ref="B44:C44"/>
    <mergeCell ref="B45:C45"/>
    <mergeCell ref="B48:C48"/>
    <mergeCell ref="B49:C49"/>
    <mergeCell ref="B50:C50"/>
    <mergeCell ref="A46:I46"/>
  </mergeCells>
  <phoneticPr fontId="3" type="noConversion"/>
  <conditionalFormatting sqref="H32:I32">
    <cfRule type="cellIs" dxfId="22" priority="504" stopIfTrue="1" operator="equal">
      <formula>0</formula>
    </cfRule>
  </conditionalFormatting>
  <conditionalFormatting sqref="H50:I50 H52:I52">
    <cfRule type="cellIs" dxfId="21" priority="506" stopIfTrue="1" operator="equal">
      <formula>0</formula>
    </cfRule>
  </conditionalFormatting>
  <conditionalFormatting sqref="K61:K62">
    <cfRule type="cellIs" dxfId="20" priority="57" stopIfTrue="1" operator="equal">
      <formula>0</formula>
    </cfRule>
  </conditionalFormatting>
  <conditionalFormatting sqref="K4:N7 O6:P10 L8:L10 N8:N10 H27:I27 O50:P50 O52:P52">
    <cfRule type="cellIs" dxfId="19" priority="921" stopIfTrue="1" operator="equal">
      <formula>0</formula>
    </cfRule>
  </conditionalFormatting>
  <conditionalFormatting sqref="K48:N52">
    <cfRule type="cellIs" dxfId="18" priority="55" stopIfTrue="1" operator="equal">
      <formula>0</formula>
    </cfRule>
  </conditionalFormatting>
  <conditionalFormatting sqref="K13:P15">
    <cfRule type="cellIs" dxfId="17" priority="11" stopIfTrue="1" operator="equal">
      <formula>0</formula>
    </cfRule>
  </conditionalFormatting>
  <conditionalFormatting sqref="K17:P20">
    <cfRule type="cellIs" dxfId="16" priority="7" stopIfTrue="1" operator="equal">
      <formula>0</formula>
    </cfRule>
  </conditionalFormatting>
  <conditionalFormatting sqref="K22:P23">
    <cfRule type="cellIs" dxfId="15" priority="5" stopIfTrue="1" operator="equal">
      <formula>0</formula>
    </cfRule>
  </conditionalFormatting>
  <conditionalFormatting sqref="K25:P32">
    <cfRule type="cellIs" dxfId="14" priority="1" stopIfTrue="1" operator="equal">
      <formula>0</formula>
    </cfRule>
  </conditionalFormatting>
  <conditionalFormatting sqref="O4:P4">
    <cfRule type="cellIs" dxfId="13" priority="53" stopIfTrue="1" operator="equal">
      <formula>0</formula>
    </cfRule>
  </conditionalFormatting>
  <conditionalFormatting sqref="O48:P48">
    <cfRule type="cellIs" dxfId="12" priority="36" stopIfTrue="1" operator="equal">
      <formula>0</formula>
    </cfRule>
  </conditionalFormatting>
  <printOptions horizontalCentered="1"/>
  <pageMargins left="0.23622047244094491" right="0.23622047244094491" top="0.39370078740157483" bottom="0.19685039370078741" header="0.19685039370078741" footer="0"/>
  <pageSetup paperSize="9" scale="93" orientation="portrait" r:id="rId1"/>
  <headerFooter alignWithMargins="0">
    <oddFooter>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9"/>
  <sheetViews>
    <sheetView showGridLines="0" showWhiteSpace="0" view="pageLayout" zoomScaleNormal="100" zoomScaleSheetLayoutView="25" workbookViewId="0">
      <selection sqref="A1:H1"/>
    </sheetView>
  </sheetViews>
  <sheetFormatPr defaultColWidth="9" defaultRowHeight="18" x14ac:dyDescent="0.25"/>
  <cols>
    <col min="1" max="1" width="8.42578125" style="89" customWidth="1"/>
    <col min="2" max="2" width="46.7109375" style="1" customWidth="1"/>
    <col min="3" max="8" width="7.7109375" style="88" customWidth="1"/>
    <col min="9" max="9" width="10.140625" style="1" customWidth="1"/>
    <col min="10" max="15" width="10.7109375" style="69" hidden="1" customWidth="1"/>
    <col min="16" max="130" width="9.140625" style="1" customWidth="1"/>
    <col min="131" max="16384" width="9" style="1"/>
  </cols>
  <sheetData>
    <row r="1" spans="1:19" s="84" customFormat="1" ht="30" customHeight="1" thickBot="1" x14ac:dyDescent="0.4">
      <c r="A1" s="769" t="s">
        <v>429</v>
      </c>
      <c r="B1" s="770"/>
      <c r="C1" s="770"/>
      <c r="D1" s="770"/>
      <c r="E1" s="770"/>
      <c r="F1" s="770"/>
      <c r="G1" s="770"/>
      <c r="H1" s="771"/>
      <c r="I1" s="83"/>
      <c r="J1" s="90"/>
      <c r="K1" s="90"/>
      <c r="L1" s="90"/>
      <c r="M1" s="90"/>
      <c r="N1" s="90"/>
      <c r="O1" s="90"/>
    </row>
    <row r="2" spans="1:19" ht="12.4" customHeight="1" x14ac:dyDescent="0.25">
      <c r="A2" s="184" t="s">
        <v>113</v>
      </c>
      <c r="B2" s="343" t="s">
        <v>114</v>
      </c>
      <c r="C2" s="344" t="s">
        <v>75</v>
      </c>
      <c r="D2" s="344" t="s">
        <v>76</v>
      </c>
      <c r="E2" s="344" t="s">
        <v>93</v>
      </c>
      <c r="F2" s="344" t="s">
        <v>77</v>
      </c>
      <c r="G2" s="344" t="s">
        <v>16</v>
      </c>
      <c r="H2" s="345" t="s">
        <v>144</v>
      </c>
      <c r="I2" s="5"/>
      <c r="J2" s="346" t="s">
        <v>75</v>
      </c>
      <c r="K2" s="347" t="s">
        <v>76</v>
      </c>
      <c r="L2" s="347" t="s">
        <v>93</v>
      </c>
      <c r="M2" s="347" t="s">
        <v>77</v>
      </c>
      <c r="N2" s="347" t="s">
        <v>16</v>
      </c>
      <c r="O2" s="348" t="s">
        <v>144</v>
      </c>
    </row>
    <row r="3" spans="1:19" s="4" customFormat="1" ht="12.4" customHeight="1" x14ac:dyDescent="0.2">
      <c r="A3" s="75" t="s">
        <v>427</v>
      </c>
      <c r="B3" s="171" t="s">
        <v>242</v>
      </c>
      <c r="C3" s="173">
        <f>SUM(J3-(J3*Capa!$C$1))</f>
        <v>14.22</v>
      </c>
      <c r="D3" s="173">
        <f>SUM(K3-(K3*Capa!$C$1))</f>
        <v>9.25</v>
      </c>
      <c r="E3" s="173">
        <f>SUM(L3-(L3*Capa!$C$1))</f>
        <v>6.1</v>
      </c>
      <c r="F3" s="173">
        <f>SUM(M3-(M3*Capa!$C$1))</f>
        <v>6.1</v>
      </c>
      <c r="G3" s="173">
        <f>SUM(N3-(N3*Capa!$C$1))</f>
        <v>6.1</v>
      </c>
      <c r="H3" s="174">
        <f>SUM(O3-(O3*Capa!$C$1))</f>
        <v>6.1</v>
      </c>
      <c r="I3" s="6"/>
      <c r="J3" s="91">
        <v>14.22</v>
      </c>
      <c r="K3" s="173">
        <v>9.25</v>
      </c>
      <c r="L3" s="173">
        <v>6.1</v>
      </c>
      <c r="M3" s="173">
        <v>6.1</v>
      </c>
      <c r="N3" s="173">
        <v>6.1</v>
      </c>
      <c r="O3" s="174">
        <v>6.1</v>
      </c>
    </row>
    <row r="4" spans="1:19" s="2" customFormat="1" ht="12.4" customHeight="1" thickBot="1" x14ac:dyDescent="0.25">
      <c r="A4" s="188" t="s">
        <v>240</v>
      </c>
      <c r="B4" s="269" t="s">
        <v>241</v>
      </c>
      <c r="C4" s="190">
        <f>SUM(J4-(J4*Capa!$C$1))</f>
        <v>14.22</v>
      </c>
      <c r="D4" s="190">
        <f>SUM(K4-(K4*Capa!$C$1))</f>
        <v>9.25</v>
      </c>
      <c r="E4" s="190">
        <f>SUM(L4-(L4*Capa!$C$1))</f>
        <v>6.1</v>
      </c>
      <c r="F4" s="190">
        <f>SUM(M4-(M4*Capa!$C$1))</f>
        <v>6.1</v>
      </c>
      <c r="G4" s="190">
        <f>SUM(N4-(N4*Capa!$C$1))</f>
        <v>6.1</v>
      </c>
      <c r="H4" s="191">
        <f>SUM(O4-(O4*Capa!$C$1))</f>
        <v>6.1</v>
      </c>
      <c r="I4" s="6"/>
      <c r="J4" s="349">
        <v>14.22</v>
      </c>
      <c r="K4" s="324">
        <v>9.25</v>
      </c>
      <c r="L4" s="324">
        <v>6.1</v>
      </c>
      <c r="M4" s="324">
        <v>6.1</v>
      </c>
      <c r="N4" s="324">
        <v>6.1</v>
      </c>
      <c r="O4" s="359">
        <v>6.1</v>
      </c>
    </row>
    <row r="5" spans="1:19" s="86" customFormat="1" ht="30" customHeight="1" thickBot="1" x14ac:dyDescent="0.4">
      <c r="A5" s="737" t="s">
        <v>175</v>
      </c>
      <c r="B5" s="738"/>
      <c r="C5" s="738"/>
      <c r="D5" s="738"/>
      <c r="E5" s="738"/>
      <c r="F5" s="738"/>
      <c r="G5" s="738"/>
      <c r="H5" s="739"/>
      <c r="I5" s="85"/>
      <c r="J5" s="74"/>
      <c r="K5" s="74"/>
      <c r="L5" s="74"/>
      <c r="M5" s="74"/>
      <c r="N5" s="74"/>
      <c r="O5" s="74"/>
    </row>
    <row r="6" spans="1:19" ht="12.4" customHeight="1" x14ac:dyDescent="0.25">
      <c r="A6" s="184" t="s">
        <v>113</v>
      </c>
      <c r="B6" s="343" t="s">
        <v>114</v>
      </c>
      <c r="C6" s="344" t="s">
        <v>75</v>
      </c>
      <c r="D6" s="344" t="s">
        <v>76</v>
      </c>
      <c r="E6" s="344" t="s">
        <v>93</v>
      </c>
      <c r="F6" s="344" t="s">
        <v>77</v>
      </c>
      <c r="G6" s="344" t="s">
        <v>16</v>
      </c>
      <c r="H6" s="345" t="s">
        <v>144</v>
      </c>
      <c r="I6" s="5"/>
      <c r="J6" s="346" t="s">
        <v>75</v>
      </c>
      <c r="K6" s="347" t="s">
        <v>76</v>
      </c>
      <c r="L6" s="347" t="s">
        <v>93</v>
      </c>
      <c r="M6" s="347" t="s">
        <v>77</v>
      </c>
      <c r="N6" s="347" t="s">
        <v>16</v>
      </c>
      <c r="O6" s="348" t="s">
        <v>144</v>
      </c>
    </row>
    <row r="7" spans="1:19" s="5" customFormat="1" ht="12.4" customHeight="1" x14ac:dyDescent="0.25">
      <c r="A7" s="75" t="s">
        <v>140</v>
      </c>
      <c r="B7" s="171" t="s">
        <v>179</v>
      </c>
      <c r="C7" s="173">
        <f>SUM(J7-(J7*Capa!$C$1))</f>
        <v>138.9</v>
      </c>
      <c r="D7" s="173">
        <f>SUM(K7-(K7*Capa!$C$1))</f>
        <v>138.9</v>
      </c>
      <c r="E7" s="173">
        <f>SUM(L7-(L7*Capa!$C$1))</f>
        <v>138.9</v>
      </c>
      <c r="F7" s="173">
        <f>SUM(M7-(M7*Capa!$C$1))</f>
        <v>138.9</v>
      </c>
      <c r="G7" s="76" t="s">
        <v>139</v>
      </c>
      <c r="H7" s="77" t="s">
        <v>139</v>
      </c>
      <c r="J7" s="416">
        <v>138.9</v>
      </c>
      <c r="K7" s="417">
        <v>138.9</v>
      </c>
      <c r="L7" s="417">
        <v>138.9</v>
      </c>
      <c r="M7" s="417">
        <v>138.9</v>
      </c>
      <c r="N7" s="93" t="s">
        <v>139</v>
      </c>
      <c r="O7" s="94" t="s">
        <v>139</v>
      </c>
    </row>
    <row r="8" spans="1:19" s="5" customFormat="1" ht="12.4" customHeight="1" x14ac:dyDescent="0.25">
      <c r="A8" s="188" t="s">
        <v>10</v>
      </c>
      <c r="B8" s="269" t="s">
        <v>176</v>
      </c>
      <c r="C8" s="190">
        <f>SUM(J8-(J8*Capa!$C$1))</f>
        <v>34.299999999999997</v>
      </c>
      <c r="D8" s="190">
        <f>SUM(K8-(K8*Capa!$C$1))</f>
        <v>34.299999999999997</v>
      </c>
      <c r="E8" s="190">
        <f>SUM(L8-(L8*Capa!$C$1))</f>
        <v>34.299999999999997</v>
      </c>
      <c r="F8" s="190">
        <f>SUM(M8-(M8*Capa!$C$1))</f>
        <v>34.299999999999997</v>
      </c>
      <c r="G8" s="248" t="s">
        <v>139</v>
      </c>
      <c r="H8" s="249" t="s">
        <v>139</v>
      </c>
      <c r="J8" s="418">
        <v>34.299999999999997</v>
      </c>
      <c r="K8" s="419">
        <v>34.299999999999997</v>
      </c>
      <c r="L8" s="419">
        <v>34.299999999999997</v>
      </c>
      <c r="M8" s="419">
        <v>34.299999999999997</v>
      </c>
      <c r="N8" s="350" t="s">
        <v>139</v>
      </c>
      <c r="O8" s="314" t="s">
        <v>139</v>
      </c>
    </row>
    <row r="9" spans="1:19" s="5" customFormat="1" ht="12.4" customHeight="1" x14ac:dyDescent="0.25">
      <c r="A9" s="75" t="s">
        <v>223</v>
      </c>
      <c r="B9" s="87" t="s">
        <v>225</v>
      </c>
      <c r="C9" s="173">
        <f>SUM(J9-(J9*Capa!$C$1))</f>
        <v>34.299999999999997</v>
      </c>
      <c r="D9" s="173">
        <f>SUM(K9-(K9*Capa!$C$1))</f>
        <v>34.299999999999997</v>
      </c>
      <c r="E9" s="173">
        <f>SUM(L9-(L9*Capa!$C$1))</f>
        <v>34.299999999999997</v>
      </c>
      <c r="F9" s="173">
        <f>SUM(M9-(M9*Capa!$C$1))</f>
        <v>34.299999999999997</v>
      </c>
      <c r="G9" s="76" t="s">
        <v>139</v>
      </c>
      <c r="H9" s="77" t="s">
        <v>139</v>
      </c>
      <c r="J9" s="420">
        <v>34.299999999999997</v>
      </c>
      <c r="K9" s="421">
        <v>34.299999999999997</v>
      </c>
      <c r="L9" s="421">
        <v>34.299999999999997</v>
      </c>
      <c r="M9" s="421">
        <v>34.299999999999997</v>
      </c>
      <c r="N9" s="93" t="s">
        <v>139</v>
      </c>
      <c r="O9" s="94" t="s">
        <v>139</v>
      </c>
    </row>
    <row r="10" spans="1:19" ht="12.4" customHeight="1" x14ac:dyDescent="0.25">
      <c r="A10" s="188" t="s">
        <v>224</v>
      </c>
      <c r="B10" s="351" t="s">
        <v>226</v>
      </c>
      <c r="C10" s="190">
        <f>SUM(J10-(J10*Capa!$C$1))</f>
        <v>34.299999999999997</v>
      </c>
      <c r="D10" s="190">
        <f>SUM(K10-(K10*Capa!$C$1))</f>
        <v>34.299999999999997</v>
      </c>
      <c r="E10" s="190">
        <f>SUM(L10-(L10*Capa!$C$1))</f>
        <v>34.299999999999997</v>
      </c>
      <c r="F10" s="190">
        <f>SUM(M10-(M10*Capa!$C$1))</f>
        <v>34.299999999999997</v>
      </c>
      <c r="G10" s="248" t="s">
        <v>139</v>
      </c>
      <c r="H10" s="249" t="s">
        <v>139</v>
      </c>
      <c r="I10" s="5"/>
      <c r="J10" s="418">
        <v>34.299999999999997</v>
      </c>
      <c r="K10" s="419">
        <v>34.299999999999997</v>
      </c>
      <c r="L10" s="419">
        <v>34.299999999999997</v>
      </c>
      <c r="M10" s="419">
        <v>34.299999999999997</v>
      </c>
      <c r="N10" s="350" t="s">
        <v>139</v>
      </c>
      <c r="O10" s="314" t="s">
        <v>139</v>
      </c>
      <c r="P10" s="5"/>
      <c r="Q10" s="5"/>
      <c r="R10" s="5"/>
      <c r="S10" s="5"/>
    </row>
    <row r="11" spans="1:19" s="5" customFormat="1" ht="12.4" customHeight="1" x14ac:dyDescent="0.25">
      <c r="A11" s="75" t="s">
        <v>452</v>
      </c>
      <c r="B11" s="87" t="s">
        <v>824</v>
      </c>
      <c r="C11" s="173">
        <f>SUM(J11-(J11*Capa!$C$1))</f>
        <v>32.65</v>
      </c>
      <c r="D11" s="173">
        <f>SUM(K11-(K11*Capa!$C$1))</f>
        <v>32.65</v>
      </c>
      <c r="E11" s="173">
        <f>SUM(L11-(L11*Capa!$C$1))</f>
        <v>32.65</v>
      </c>
      <c r="F11" s="173">
        <f>SUM(M11-(M11*Capa!$C$1))</f>
        <v>32.65</v>
      </c>
      <c r="G11" s="76" t="s">
        <v>139</v>
      </c>
      <c r="H11" s="77" t="s">
        <v>139</v>
      </c>
      <c r="J11" s="420">
        <v>32.65</v>
      </c>
      <c r="K11" s="421">
        <v>32.65</v>
      </c>
      <c r="L11" s="421">
        <v>32.65</v>
      </c>
      <c r="M11" s="421">
        <v>32.65</v>
      </c>
      <c r="N11" s="93" t="s">
        <v>139</v>
      </c>
      <c r="O11" s="94" t="s">
        <v>139</v>
      </c>
    </row>
    <row r="12" spans="1:19" s="5" customFormat="1" ht="12.4" customHeight="1" x14ac:dyDescent="0.25">
      <c r="A12" s="188" t="s">
        <v>92</v>
      </c>
      <c r="B12" s="269" t="s">
        <v>825</v>
      </c>
      <c r="C12" s="190">
        <f>SUM(J12-(J12*Capa!$C$1))</f>
        <v>27.62</v>
      </c>
      <c r="D12" s="190">
        <f>SUM(K12-(K12*Capa!$C$1))</f>
        <v>27.62</v>
      </c>
      <c r="E12" s="190">
        <f>SUM(L12-(L12*Capa!$C$1))</f>
        <v>27.62</v>
      </c>
      <c r="F12" s="190">
        <f>SUM(M12-(M12*Capa!$C$1))</f>
        <v>27.62</v>
      </c>
      <c r="G12" s="248" t="s">
        <v>139</v>
      </c>
      <c r="H12" s="249" t="s">
        <v>139</v>
      </c>
      <c r="J12" s="418">
        <v>27.62</v>
      </c>
      <c r="K12" s="419">
        <v>27.62</v>
      </c>
      <c r="L12" s="419">
        <v>27.62</v>
      </c>
      <c r="M12" s="419">
        <v>27.62</v>
      </c>
      <c r="N12" s="350" t="s">
        <v>139</v>
      </c>
      <c r="O12" s="314" t="s">
        <v>139</v>
      </c>
    </row>
    <row r="13" spans="1:19" ht="12.4" customHeight="1" x14ac:dyDescent="0.25">
      <c r="A13" s="75" t="s">
        <v>30</v>
      </c>
      <c r="B13" s="171" t="s">
        <v>177</v>
      </c>
      <c r="C13" s="173">
        <f>SUM(J13-(J13*Capa!$C$1))</f>
        <v>4.92</v>
      </c>
      <c r="D13" s="173">
        <f>SUM(K13-(K13*Capa!$C$1))</f>
        <v>4.92</v>
      </c>
      <c r="E13" s="173">
        <f>SUM(L13-(L13*Capa!$C$1))</f>
        <v>4.92</v>
      </c>
      <c r="F13" s="173">
        <f>SUM(M13-(M13*Capa!$C$1))</f>
        <v>4.92</v>
      </c>
      <c r="G13" s="76" t="s">
        <v>139</v>
      </c>
      <c r="H13" s="77" t="s">
        <v>139</v>
      </c>
      <c r="I13" s="5"/>
      <c r="J13" s="420">
        <v>4.92</v>
      </c>
      <c r="K13" s="421">
        <v>4.92</v>
      </c>
      <c r="L13" s="421">
        <v>4.92</v>
      </c>
      <c r="M13" s="421">
        <v>4.92</v>
      </c>
      <c r="N13" s="93" t="s">
        <v>139</v>
      </c>
      <c r="O13" s="94" t="s">
        <v>139</v>
      </c>
      <c r="P13" s="5"/>
      <c r="Q13" s="5"/>
      <c r="R13" s="5"/>
      <c r="S13" s="5"/>
    </row>
    <row r="14" spans="1:19" s="5" customFormat="1" ht="12.4" customHeight="1" x14ac:dyDescent="0.25">
      <c r="A14" s="188" t="s">
        <v>39</v>
      </c>
      <c r="B14" s="269" t="s">
        <v>405</v>
      </c>
      <c r="C14" s="190">
        <f>SUM(J14-(J14*Capa!$C$1))</f>
        <v>4.92</v>
      </c>
      <c r="D14" s="190">
        <f>SUM(K14-(K14*Capa!$C$1))</f>
        <v>4.92</v>
      </c>
      <c r="E14" s="190">
        <f>SUM(L14-(L14*Capa!$C$1))</f>
        <v>4.92</v>
      </c>
      <c r="F14" s="190">
        <f>SUM(M14-(M14*Capa!$C$1))</f>
        <v>4.92</v>
      </c>
      <c r="G14" s="248" t="s">
        <v>139</v>
      </c>
      <c r="H14" s="249" t="s">
        <v>139</v>
      </c>
      <c r="J14" s="418">
        <v>4.92</v>
      </c>
      <c r="K14" s="419">
        <v>4.92</v>
      </c>
      <c r="L14" s="419">
        <v>4.92</v>
      </c>
      <c r="M14" s="419">
        <v>4.92</v>
      </c>
      <c r="N14" s="350" t="s">
        <v>139</v>
      </c>
      <c r="O14" s="314" t="s">
        <v>139</v>
      </c>
    </row>
    <row r="15" spans="1:19" ht="12.4" customHeight="1" x14ac:dyDescent="0.25">
      <c r="A15" s="75" t="s">
        <v>40</v>
      </c>
      <c r="B15" s="171" t="s">
        <v>178</v>
      </c>
      <c r="C15" s="173">
        <f>SUM(J15-(J15*Capa!$C$1))</f>
        <v>9.81</v>
      </c>
      <c r="D15" s="173">
        <f>SUM(K15-(K15*Capa!$C$1))</f>
        <v>9.81</v>
      </c>
      <c r="E15" s="173">
        <f>SUM(L15-(L15*Capa!$C$1))</f>
        <v>9.81</v>
      </c>
      <c r="F15" s="173">
        <f>SUM(M15-(M15*Capa!$C$1))</f>
        <v>9.81</v>
      </c>
      <c r="G15" s="76" t="s">
        <v>139</v>
      </c>
      <c r="H15" s="77" t="s">
        <v>139</v>
      </c>
      <c r="I15" s="5"/>
      <c r="J15" s="416">
        <v>9.81</v>
      </c>
      <c r="K15" s="417">
        <v>9.81</v>
      </c>
      <c r="L15" s="417">
        <v>9.81</v>
      </c>
      <c r="M15" s="417">
        <v>9.81</v>
      </c>
      <c r="N15" s="93" t="s">
        <v>139</v>
      </c>
      <c r="O15" s="94" t="s">
        <v>139</v>
      </c>
      <c r="P15" s="5"/>
      <c r="Q15" s="5"/>
      <c r="R15" s="5"/>
      <c r="S15" s="5"/>
    </row>
    <row r="16" spans="1:19" s="5" customFormat="1" ht="12.4" customHeight="1" x14ac:dyDescent="0.25">
      <c r="A16" s="188" t="s">
        <v>44</v>
      </c>
      <c r="B16" s="269" t="s">
        <v>563</v>
      </c>
      <c r="C16" s="190">
        <f>SUM(J16-(J16*Capa!$C$1))</f>
        <v>25.52</v>
      </c>
      <c r="D16" s="190">
        <f>SUM(K16-(K16*Capa!$C$1))</f>
        <v>25.52</v>
      </c>
      <c r="E16" s="190">
        <f>SUM(L16-(L16*Capa!$C$1))</f>
        <v>25.52</v>
      </c>
      <c r="F16" s="190">
        <f>SUM(M16-(M16*Capa!$C$1))</f>
        <v>25.52</v>
      </c>
      <c r="G16" s="248" t="s">
        <v>139</v>
      </c>
      <c r="H16" s="249" t="s">
        <v>139</v>
      </c>
      <c r="J16" s="422">
        <v>25.52</v>
      </c>
      <c r="K16" s="423">
        <v>25.52</v>
      </c>
      <c r="L16" s="423">
        <v>25.52</v>
      </c>
      <c r="M16" s="423">
        <v>25.52</v>
      </c>
      <c r="N16" s="350" t="s">
        <v>139</v>
      </c>
      <c r="O16" s="314" t="s">
        <v>139</v>
      </c>
    </row>
    <row r="17" spans="1:19" ht="12.4" customHeight="1" x14ac:dyDescent="0.25">
      <c r="A17" s="75" t="s">
        <v>96</v>
      </c>
      <c r="B17" s="171" t="s">
        <v>564</v>
      </c>
      <c r="C17" s="173">
        <f>SUM(J17-(J17*Capa!$C$1))</f>
        <v>24.99</v>
      </c>
      <c r="D17" s="173">
        <f>SUM(K17-(K17*Capa!$C$1))</f>
        <v>24.99</v>
      </c>
      <c r="E17" s="173">
        <f>SUM(L17-(L17*Capa!$C$1))</f>
        <v>24.99</v>
      </c>
      <c r="F17" s="173">
        <f>SUM(M17-(M17*Capa!$C$1))</f>
        <v>24.99</v>
      </c>
      <c r="G17" s="76" t="s">
        <v>139</v>
      </c>
      <c r="H17" s="77" t="s">
        <v>139</v>
      </c>
      <c r="I17" s="5"/>
      <c r="J17" s="416">
        <v>24.99</v>
      </c>
      <c r="K17" s="417">
        <v>24.99</v>
      </c>
      <c r="L17" s="417">
        <v>24.99</v>
      </c>
      <c r="M17" s="417">
        <v>24.99</v>
      </c>
      <c r="N17" s="93" t="s">
        <v>139</v>
      </c>
      <c r="O17" s="94" t="s">
        <v>139</v>
      </c>
      <c r="P17" s="5"/>
      <c r="Q17" s="5"/>
      <c r="R17" s="5"/>
      <c r="S17" s="5"/>
    </row>
    <row r="18" spans="1:19" ht="12.4" customHeight="1" x14ac:dyDescent="0.25">
      <c r="A18" s="188" t="s">
        <v>453</v>
      </c>
      <c r="B18" s="269" t="s">
        <v>565</v>
      </c>
      <c r="C18" s="190">
        <f>SUM(J18-(J18*Capa!$C$1))</f>
        <v>21.63</v>
      </c>
      <c r="D18" s="190">
        <f>SUM(K18-(K18*Capa!$C$1))</f>
        <v>21.63</v>
      </c>
      <c r="E18" s="190">
        <f>SUM(L18-(L18*Capa!$C$1))</f>
        <v>21.63</v>
      </c>
      <c r="F18" s="190">
        <f>SUM(M18-(M18*Capa!$C$1))</f>
        <v>21.63</v>
      </c>
      <c r="G18" s="248" t="s">
        <v>139</v>
      </c>
      <c r="H18" s="249" t="s">
        <v>139</v>
      </c>
      <c r="I18" s="5"/>
      <c r="J18" s="418">
        <v>21.63</v>
      </c>
      <c r="K18" s="419">
        <v>21.63</v>
      </c>
      <c r="L18" s="419">
        <v>21.63</v>
      </c>
      <c r="M18" s="419">
        <v>21.63</v>
      </c>
      <c r="N18" s="350" t="s">
        <v>139</v>
      </c>
      <c r="O18" s="314" t="s">
        <v>139</v>
      </c>
      <c r="P18" s="5"/>
      <c r="Q18" s="5"/>
      <c r="R18" s="5"/>
      <c r="S18" s="5"/>
    </row>
    <row r="19" spans="1:19" s="2" customFormat="1" ht="12.4" customHeight="1" x14ac:dyDescent="0.2">
      <c r="A19" s="75" t="s">
        <v>454</v>
      </c>
      <c r="B19" s="87" t="s">
        <v>566</v>
      </c>
      <c r="C19" s="173">
        <f>SUM(J19-(J19*Capa!$C$1))</f>
        <v>30.14</v>
      </c>
      <c r="D19" s="173">
        <f>SUM(K19-(K19*Capa!$C$1))</f>
        <v>30.14</v>
      </c>
      <c r="E19" s="173">
        <f>SUM(L19-(L19*Capa!$C$1))</f>
        <v>30.14</v>
      </c>
      <c r="F19" s="173">
        <f>SUM(M19-(M19*Capa!$C$1))</f>
        <v>30.14</v>
      </c>
      <c r="G19" s="76" t="s">
        <v>139</v>
      </c>
      <c r="H19" s="77" t="s">
        <v>139</v>
      </c>
      <c r="I19" s="4"/>
      <c r="J19" s="420">
        <v>30.14</v>
      </c>
      <c r="K19" s="421">
        <v>30.14</v>
      </c>
      <c r="L19" s="421">
        <v>30.14</v>
      </c>
      <c r="M19" s="421">
        <v>30.14</v>
      </c>
      <c r="N19" s="93" t="s">
        <v>139</v>
      </c>
      <c r="O19" s="94" t="s">
        <v>139</v>
      </c>
      <c r="P19" s="4"/>
      <c r="Q19" s="4"/>
      <c r="R19" s="4"/>
      <c r="S19" s="4"/>
    </row>
    <row r="20" spans="1:19" s="5" customFormat="1" ht="12.4" customHeight="1" x14ac:dyDescent="0.25">
      <c r="A20" s="188" t="s">
        <v>45</v>
      </c>
      <c r="B20" s="269" t="s">
        <v>567</v>
      </c>
      <c r="C20" s="190">
        <f>SUM(J20-(J20*Capa!$C$1))</f>
        <v>33.590000000000003</v>
      </c>
      <c r="D20" s="190">
        <f>SUM(K20-(K20*Capa!$C$1))</f>
        <v>33.590000000000003</v>
      </c>
      <c r="E20" s="190">
        <f>SUM(L20-(L20*Capa!$C$1))</f>
        <v>33.590000000000003</v>
      </c>
      <c r="F20" s="190">
        <f>SUM(M20-(M20*Capa!$C$1))</f>
        <v>33.590000000000003</v>
      </c>
      <c r="G20" s="248" t="s">
        <v>139</v>
      </c>
      <c r="H20" s="249" t="s">
        <v>139</v>
      </c>
      <c r="J20" s="422">
        <v>33.590000000000003</v>
      </c>
      <c r="K20" s="423">
        <v>33.590000000000003</v>
      </c>
      <c r="L20" s="423">
        <v>33.590000000000003</v>
      </c>
      <c r="M20" s="423">
        <v>33.590000000000003</v>
      </c>
      <c r="N20" s="350" t="s">
        <v>139</v>
      </c>
      <c r="O20" s="314" t="s">
        <v>139</v>
      </c>
    </row>
    <row r="21" spans="1:19" ht="12.4" customHeight="1" x14ac:dyDescent="0.25">
      <c r="A21" s="75" t="s">
        <v>109</v>
      </c>
      <c r="B21" s="171" t="s">
        <v>568</v>
      </c>
      <c r="C21" s="173">
        <f>SUM(J21-(J21*Capa!$C$1))</f>
        <v>19.739999999999998</v>
      </c>
      <c r="D21" s="173">
        <f>SUM(K21-(K21*Capa!$C$1))</f>
        <v>19.739999999999998</v>
      </c>
      <c r="E21" s="173">
        <f>SUM(L21-(L21*Capa!$C$1))</f>
        <v>19.739999999999998</v>
      </c>
      <c r="F21" s="173">
        <f>SUM(M21-(M21*Capa!$C$1))</f>
        <v>19.739999999999998</v>
      </c>
      <c r="G21" s="76" t="s">
        <v>139</v>
      </c>
      <c r="H21" s="77" t="s">
        <v>139</v>
      </c>
      <c r="I21" s="5"/>
      <c r="J21" s="416">
        <v>19.739999999999998</v>
      </c>
      <c r="K21" s="417">
        <v>19.739999999999998</v>
      </c>
      <c r="L21" s="417">
        <v>19.739999999999998</v>
      </c>
      <c r="M21" s="417">
        <v>19.739999999999998</v>
      </c>
      <c r="N21" s="93" t="s">
        <v>139</v>
      </c>
      <c r="O21" s="94" t="s">
        <v>139</v>
      </c>
      <c r="P21" s="5"/>
      <c r="Q21" s="5"/>
      <c r="R21" s="5"/>
      <c r="S21" s="5"/>
    </row>
    <row r="22" spans="1:19" s="5" customFormat="1" ht="12.4" customHeight="1" x14ac:dyDescent="0.25">
      <c r="A22" s="188" t="s">
        <v>110</v>
      </c>
      <c r="B22" s="269" t="s">
        <v>569</v>
      </c>
      <c r="C22" s="190">
        <f>SUM(J22-(J22*Capa!$C$1))</f>
        <v>19.739999999999998</v>
      </c>
      <c r="D22" s="190">
        <f>SUM(K22-(K22*Capa!$C$1))</f>
        <v>19.739999999999998</v>
      </c>
      <c r="E22" s="190">
        <f>SUM(L22-(L22*Capa!$C$1))</f>
        <v>19.739999999999998</v>
      </c>
      <c r="F22" s="190">
        <f>SUM(M22-(M22*Capa!$C$1))</f>
        <v>19.739999999999998</v>
      </c>
      <c r="G22" s="248" t="s">
        <v>139</v>
      </c>
      <c r="H22" s="249" t="s">
        <v>139</v>
      </c>
      <c r="J22" s="422">
        <v>19.739999999999998</v>
      </c>
      <c r="K22" s="423">
        <v>19.739999999999998</v>
      </c>
      <c r="L22" s="423">
        <v>19.739999999999998</v>
      </c>
      <c r="M22" s="423">
        <v>19.739999999999998</v>
      </c>
      <c r="N22" s="350" t="s">
        <v>139</v>
      </c>
      <c r="O22" s="314" t="s">
        <v>139</v>
      </c>
    </row>
    <row r="23" spans="1:19" ht="12.4" customHeight="1" x14ac:dyDescent="0.25">
      <c r="A23" s="75" t="s">
        <v>95</v>
      </c>
      <c r="B23" s="171" t="s">
        <v>570</v>
      </c>
      <c r="C23" s="173">
        <f>SUM(J23-(J23*Capa!$C$1))</f>
        <v>24.15</v>
      </c>
      <c r="D23" s="173">
        <f>SUM(K23-(K23*Capa!$C$1))</f>
        <v>24.15</v>
      </c>
      <c r="E23" s="173">
        <f>SUM(L23-(L23*Capa!$C$1))</f>
        <v>24.15</v>
      </c>
      <c r="F23" s="173">
        <f>SUM(M23-(M23*Capa!$C$1))</f>
        <v>24.15</v>
      </c>
      <c r="G23" s="76" t="s">
        <v>139</v>
      </c>
      <c r="H23" s="77" t="s">
        <v>139</v>
      </c>
      <c r="I23" s="5"/>
      <c r="J23" s="416">
        <v>24.15</v>
      </c>
      <c r="K23" s="417">
        <v>24.15</v>
      </c>
      <c r="L23" s="417">
        <v>24.15</v>
      </c>
      <c r="M23" s="417">
        <v>24.15</v>
      </c>
      <c r="N23" s="93" t="s">
        <v>139</v>
      </c>
      <c r="O23" s="94" t="s">
        <v>139</v>
      </c>
      <c r="P23" s="5"/>
      <c r="Q23" s="5"/>
      <c r="R23" s="5"/>
      <c r="S23" s="5"/>
    </row>
    <row r="24" spans="1:19" ht="12.4" customHeight="1" x14ac:dyDescent="0.25">
      <c r="A24" s="188" t="s">
        <v>141</v>
      </c>
      <c r="B24" s="269" t="s">
        <v>571</v>
      </c>
      <c r="C24" s="190">
        <f>SUM(J24-(J24*Capa!$C$1))</f>
        <v>31.34</v>
      </c>
      <c r="D24" s="190">
        <f>SUM(K24-(K24*Capa!$C$1))</f>
        <v>31.34</v>
      </c>
      <c r="E24" s="190">
        <f>SUM(L24-(L24*Capa!$C$1))</f>
        <v>31.34</v>
      </c>
      <c r="F24" s="190">
        <f>SUM(M24-(M24*Capa!$C$1))</f>
        <v>31.34</v>
      </c>
      <c r="G24" s="248" t="s">
        <v>139</v>
      </c>
      <c r="H24" s="249" t="s">
        <v>139</v>
      </c>
      <c r="I24" s="5"/>
      <c r="J24" s="422">
        <v>31.34</v>
      </c>
      <c r="K24" s="423">
        <v>31.34</v>
      </c>
      <c r="L24" s="423">
        <v>31.34</v>
      </c>
      <c r="M24" s="423">
        <v>31.34</v>
      </c>
      <c r="N24" s="350" t="s">
        <v>139</v>
      </c>
      <c r="O24" s="314" t="s">
        <v>139</v>
      </c>
      <c r="P24" s="5"/>
      <c r="Q24" s="5"/>
      <c r="R24" s="5"/>
      <c r="S24" s="5"/>
    </row>
    <row r="25" spans="1:19" s="5" customFormat="1" ht="12.4" customHeight="1" thickBot="1" x14ac:dyDescent="0.3">
      <c r="A25" s="75" t="s">
        <v>142</v>
      </c>
      <c r="B25" s="171" t="s">
        <v>572</v>
      </c>
      <c r="C25" s="173">
        <f>SUM(J25-(J25*Capa!$C$1))</f>
        <v>31.34</v>
      </c>
      <c r="D25" s="173">
        <f>SUM(K25-(K25*Capa!$C$1))</f>
        <v>31.34</v>
      </c>
      <c r="E25" s="173">
        <f>SUM(L25-(L25*Capa!$C$1))</f>
        <v>31.34</v>
      </c>
      <c r="F25" s="173">
        <f>SUM(M25-(M25*Capa!$C$1))</f>
        <v>31.34</v>
      </c>
      <c r="G25" s="76" t="s">
        <v>139</v>
      </c>
      <c r="H25" s="77" t="s">
        <v>139</v>
      </c>
      <c r="J25" s="424">
        <v>31.34</v>
      </c>
      <c r="K25" s="425">
        <v>31.34</v>
      </c>
      <c r="L25" s="425">
        <v>31.34</v>
      </c>
      <c r="M25" s="425">
        <v>31.34</v>
      </c>
      <c r="N25" s="95" t="s">
        <v>139</v>
      </c>
      <c r="O25" s="96" t="s">
        <v>139</v>
      </c>
    </row>
    <row r="26" spans="1:19" s="86" customFormat="1" ht="30" customHeight="1" thickBot="1" x14ac:dyDescent="0.4">
      <c r="A26" s="737" t="s">
        <v>154</v>
      </c>
      <c r="B26" s="738"/>
      <c r="C26" s="738"/>
      <c r="D26" s="738"/>
      <c r="E26" s="738"/>
      <c r="F26" s="738"/>
      <c r="G26" s="738"/>
      <c r="H26" s="739"/>
      <c r="I26" s="85"/>
      <c r="J26" s="74"/>
      <c r="K26" s="74"/>
      <c r="L26" s="74"/>
      <c r="M26" s="74"/>
      <c r="N26" s="74"/>
      <c r="O26" s="74"/>
    </row>
    <row r="27" spans="1:19" ht="12.4" customHeight="1" x14ac:dyDescent="0.25">
      <c r="A27" s="184" t="s">
        <v>113</v>
      </c>
      <c r="B27" s="343" t="s">
        <v>114</v>
      </c>
      <c r="C27" s="344" t="s">
        <v>75</v>
      </c>
      <c r="D27" s="344" t="s">
        <v>76</v>
      </c>
      <c r="E27" s="344" t="s">
        <v>93</v>
      </c>
      <c r="F27" s="344" t="s">
        <v>77</v>
      </c>
      <c r="G27" s="344" t="s">
        <v>16</v>
      </c>
      <c r="H27" s="345" t="s">
        <v>144</v>
      </c>
      <c r="I27" s="5"/>
      <c r="J27" s="346" t="s">
        <v>75</v>
      </c>
      <c r="K27" s="347" t="s">
        <v>76</v>
      </c>
      <c r="L27" s="347" t="s">
        <v>93</v>
      </c>
      <c r="M27" s="347" t="s">
        <v>77</v>
      </c>
      <c r="N27" s="347" t="s">
        <v>16</v>
      </c>
      <c r="O27" s="348" t="s">
        <v>144</v>
      </c>
    </row>
    <row r="28" spans="1:19" ht="12.4" customHeight="1" x14ac:dyDescent="0.25">
      <c r="A28" s="78" t="s">
        <v>105</v>
      </c>
      <c r="B28" s="171" t="s">
        <v>155</v>
      </c>
      <c r="C28" s="173">
        <f>SUM(J28-(J28*Capa!$C$1))</f>
        <v>4.0999999999999996</v>
      </c>
      <c r="D28" s="173">
        <f>SUM(K28-(K28*Capa!$C$1))</f>
        <v>4.0999999999999996</v>
      </c>
      <c r="E28" s="173">
        <f>SUM(L28-(L28*Capa!$C$1))</f>
        <v>4.0999999999999996</v>
      </c>
      <c r="F28" s="173">
        <f>SUM(M28-(M28*Capa!$C$1))</f>
        <v>5.28</v>
      </c>
      <c r="G28" s="173">
        <f>SUM(N28-(N28*Capa!$C$1))</f>
        <v>4.0999999999999996</v>
      </c>
      <c r="H28" s="174">
        <f>SUM(O28-(O28*Capa!$C$1))</f>
        <v>4.0999999999999996</v>
      </c>
      <c r="I28" s="5"/>
      <c r="J28" s="426">
        <v>4.0999999999999996</v>
      </c>
      <c r="K28" s="427">
        <v>4.0999999999999996</v>
      </c>
      <c r="L28" s="427">
        <v>4.0999999999999996</v>
      </c>
      <c r="M28" s="427">
        <v>5.28</v>
      </c>
      <c r="N28" s="427">
        <v>4.0999999999999996</v>
      </c>
      <c r="O28" s="428">
        <v>4.0999999999999996</v>
      </c>
    </row>
    <row r="29" spans="1:19" s="5" customFormat="1" ht="12.4" customHeight="1" x14ac:dyDescent="0.25">
      <c r="A29" s="322" t="s">
        <v>106</v>
      </c>
      <c r="B29" s="269" t="s">
        <v>156</v>
      </c>
      <c r="C29" s="190">
        <f>SUM(J29-(J29*Capa!$C$1))</f>
        <v>3.99</v>
      </c>
      <c r="D29" s="190">
        <f>SUM(K29-(K29*Capa!$C$1))</f>
        <v>3.99</v>
      </c>
      <c r="E29" s="190">
        <f>SUM(L29-(L29*Capa!$C$1))</f>
        <v>3.99</v>
      </c>
      <c r="F29" s="190">
        <f>SUM(M29-(M29*Capa!$C$1))</f>
        <v>4.74</v>
      </c>
      <c r="G29" s="190">
        <f>SUM(N29-(N29*Capa!$C$1))</f>
        <v>3.99</v>
      </c>
      <c r="H29" s="191">
        <f>SUM(O29-(O29*Capa!$C$1))</f>
        <v>3.99</v>
      </c>
      <c r="J29" s="429">
        <v>3.99</v>
      </c>
      <c r="K29" s="430">
        <v>3.99</v>
      </c>
      <c r="L29" s="430">
        <v>3.99</v>
      </c>
      <c r="M29" s="430">
        <v>4.74</v>
      </c>
      <c r="N29" s="430">
        <v>3.99</v>
      </c>
      <c r="O29" s="431">
        <v>3.99</v>
      </c>
    </row>
    <row r="30" spans="1:19" ht="12.4" customHeight="1" x14ac:dyDescent="0.25">
      <c r="A30" s="78" t="s">
        <v>107</v>
      </c>
      <c r="B30" s="171" t="s">
        <v>157</v>
      </c>
      <c r="C30" s="173">
        <f>SUM(J30-(J30*Capa!$C$1))</f>
        <v>4.3499999999999996</v>
      </c>
      <c r="D30" s="173">
        <f>SUM(K30-(K30*Capa!$C$1))</f>
        <v>4.3499999999999996</v>
      </c>
      <c r="E30" s="173">
        <f>SUM(L30-(L30*Capa!$C$1))</f>
        <v>4.3499999999999996</v>
      </c>
      <c r="F30" s="173">
        <f>SUM(M30-(M30*Capa!$C$1))</f>
        <v>4.74</v>
      </c>
      <c r="G30" s="79" t="s">
        <v>139</v>
      </c>
      <c r="H30" s="80" t="s">
        <v>139</v>
      </c>
      <c r="I30" s="5"/>
      <c r="J30" s="426">
        <v>4.3499999999999996</v>
      </c>
      <c r="K30" s="427">
        <v>4.3499999999999996</v>
      </c>
      <c r="L30" s="427">
        <v>4.3499999999999996</v>
      </c>
      <c r="M30" s="427">
        <v>4.74</v>
      </c>
      <c r="N30" s="79" t="s">
        <v>139</v>
      </c>
      <c r="O30" s="80" t="s">
        <v>139</v>
      </c>
    </row>
    <row r="31" spans="1:19" s="5" customFormat="1" ht="12.4" customHeight="1" x14ac:dyDescent="0.25">
      <c r="A31" s="188" t="s">
        <v>2</v>
      </c>
      <c r="B31" s="351" t="s">
        <v>159</v>
      </c>
      <c r="C31" s="190">
        <f>SUM(J31-(J31*Capa!$C$1))</f>
        <v>6.1</v>
      </c>
      <c r="D31" s="190">
        <f>SUM(K31-(K31*Capa!$C$1))</f>
        <v>6.1</v>
      </c>
      <c r="E31" s="190">
        <f>SUM(L31-(L31*Capa!$C$1))</f>
        <v>6.1</v>
      </c>
      <c r="F31" s="190">
        <f>SUM(M31-(M31*Capa!$C$1))</f>
        <v>6.1</v>
      </c>
      <c r="G31" s="190">
        <f>SUM(N31-(N31*Capa!$C$1))</f>
        <v>6.1</v>
      </c>
      <c r="H31" s="191">
        <f>SUM(O31-(O31*Capa!$C$1))</f>
        <v>6.1</v>
      </c>
      <c r="J31" s="418">
        <v>6.1</v>
      </c>
      <c r="K31" s="419">
        <v>6.1</v>
      </c>
      <c r="L31" s="419">
        <v>6.1</v>
      </c>
      <c r="M31" s="419">
        <v>6.1</v>
      </c>
      <c r="N31" s="419">
        <v>6.1</v>
      </c>
      <c r="O31" s="432">
        <v>6.1</v>
      </c>
    </row>
    <row r="32" spans="1:19" ht="12.4" customHeight="1" x14ac:dyDescent="0.25">
      <c r="A32" s="75" t="s">
        <v>1</v>
      </c>
      <c r="B32" s="87" t="s">
        <v>158</v>
      </c>
      <c r="C32" s="173">
        <f>SUM(J32-(J32*Capa!$C$1))</f>
        <v>4.8899999999999997</v>
      </c>
      <c r="D32" s="173">
        <f>SUM(K32-(K32*Capa!$C$1))</f>
        <v>4.8899999999999997</v>
      </c>
      <c r="E32" s="173">
        <f>SUM(L32-(L32*Capa!$C$1))</f>
        <v>4.8899999999999997</v>
      </c>
      <c r="F32" s="173">
        <f>SUM(M32-(M32*Capa!$C$1))</f>
        <v>4.8899999999999997</v>
      </c>
      <c r="G32" s="173">
        <f>SUM(N32-(N32*Capa!$C$1))</f>
        <v>4.8899999999999997</v>
      </c>
      <c r="H32" s="174">
        <f>SUM(O32-(O32*Capa!$C$1))</f>
        <v>4.8899999999999997</v>
      </c>
      <c r="I32" s="5"/>
      <c r="J32" s="420">
        <v>4.8899999999999997</v>
      </c>
      <c r="K32" s="421">
        <v>4.8899999999999997</v>
      </c>
      <c r="L32" s="421">
        <v>4.8899999999999997</v>
      </c>
      <c r="M32" s="421">
        <v>4.8899999999999997</v>
      </c>
      <c r="N32" s="421">
        <v>4.8899999999999997</v>
      </c>
      <c r="O32" s="433">
        <v>4.8899999999999997</v>
      </c>
    </row>
    <row r="33" spans="1:15" s="5" customFormat="1" ht="12.4" customHeight="1" x14ac:dyDescent="0.25">
      <c r="A33" s="188" t="s">
        <v>257</v>
      </c>
      <c r="B33" s="269" t="s">
        <v>516</v>
      </c>
      <c r="C33" s="190">
        <f>SUM(J33-(J33*Capa!$C$1))</f>
        <v>23.31</v>
      </c>
      <c r="D33" s="190">
        <f>SUM(K33-(K33*Capa!$C$1))</f>
        <v>23.31</v>
      </c>
      <c r="E33" s="190">
        <f>SUM(L33-(L33*Capa!$C$1))</f>
        <v>23.31</v>
      </c>
      <c r="F33" s="190">
        <f>SUM(M33-(M33*Capa!$C$1))</f>
        <v>23.31</v>
      </c>
      <c r="G33" s="190">
        <f>SUM(N33-(N33*Capa!$C$1))</f>
        <v>23.31</v>
      </c>
      <c r="H33" s="191">
        <f>SUM(O33-(O33*Capa!$C$1))</f>
        <v>23.31</v>
      </c>
      <c r="J33" s="422">
        <v>23.31</v>
      </c>
      <c r="K33" s="423">
        <v>23.31</v>
      </c>
      <c r="L33" s="423">
        <v>23.31</v>
      </c>
      <c r="M33" s="423">
        <v>23.31</v>
      </c>
      <c r="N33" s="423">
        <v>23.31</v>
      </c>
      <c r="O33" s="434">
        <v>23.31</v>
      </c>
    </row>
    <row r="34" spans="1:15" ht="12.4" customHeight="1" x14ac:dyDescent="0.25">
      <c r="A34" s="75" t="s">
        <v>102</v>
      </c>
      <c r="B34" s="171" t="s">
        <v>168</v>
      </c>
      <c r="C34" s="173">
        <f>SUM(J34-(J34*Capa!$C$1))</f>
        <v>19.899999999999999</v>
      </c>
      <c r="D34" s="173">
        <f>SUM(K34-(K34*Capa!$C$1))</f>
        <v>19.899999999999999</v>
      </c>
      <c r="E34" s="173">
        <f>SUM(L34-(L34*Capa!$C$1))</f>
        <v>19.899999999999999</v>
      </c>
      <c r="F34" s="173">
        <f>SUM(M34-(M34*Capa!$C$1))</f>
        <v>19.899999999999999</v>
      </c>
      <c r="G34" s="76" t="s">
        <v>139</v>
      </c>
      <c r="H34" s="77" t="s">
        <v>139</v>
      </c>
      <c r="I34" s="5"/>
      <c r="J34" s="420">
        <v>19.899999999999999</v>
      </c>
      <c r="K34" s="421">
        <v>19.899999999999999</v>
      </c>
      <c r="L34" s="421">
        <v>19.899999999999999</v>
      </c>
      <c r="M34" s="421">
        <v>19.899999999999999</v>
      </c>
      <c r="N34" s="76" t="s">
        <v>139</v>
      </c>
      <c r="O34" s="77" t="s">
        <v>139</v>
      </c>
    </row>
    <row r="35" spans="1:15" s="5" customFormat="1" ht="12.4" customHeight="1" x14ac:dyDescent="0.25">
      <c r="A35" s="188" t="s">
        <v>101</v>
      </c>
      <c r="B35" s="269" t="s">
        <v>167</v>
      </c>
      <c r="C35" s="190">
        <f>SUM(J35-(J35*Capa!$C$1))</f>
        <v>15.98</v>
      </c>
      <c r="D35" s="190">
        <f>SUM(K35-(K35*Capa!$C$1))</f>
        <v>15.98</v>
      </c>
      <c r="E35" s="190">
        <f>SUM(L35-(L35*Capa!$C$1))</f>
        <v>15.98</v>
      </c>
      <c r="F35" s="190">
        <f>SUM(M35-(M35*Capa!$C$1))</f>
        <v>15.98</v>
      </c>
      <c r="G35" s="248" t="s">
        <v>139</v>
      </c>
      <c r="H35" s="249" t="s">
        <v>139</v>
      </c>
      <c r="J35" s="418">
        <v>15.98</v>
      </c>
      <c r="K35" s="419">
        <v>15.98</v>
      </c>
      <c r="L35" s="419">
        <v>15.98</v>
      </c>
      <c r="M35" s="419">
        <v>15.98</v>
      </c>
      <c r="N35" s="248" t="s">
        <v>139</v>
      </c>
      <c r="O35" s="249" t="s">
        <v>139</v>
      </c>
    </row>
    <row r="36" spans="1:15" ht="12.4" customHeight="1" x14ac:dyDescent="0.25">
      <c r="A36" s="75" t="s">
        <v>6</v>
      </c>
      <c r="B36" s="171" t="s">
        <v>160</v>
      </c>
      <c r="C36" s="173">
        <f>SUM(J36-(J36*Capa!$C$1))</f>
        <v>21.9</v>
      </c>
      <c r="D36" s="173">
        <f>SUM(K36-(K36*Capa!$C$1))</f>
        <v>21.9</v>
      </c>
      <c r="E36" s="173">
        <f>SUM(L36-(L36*Capa!$C$1))</f>
        <v>21.9</v>
      </c>
      <c r="F36" s="173">
        <f>SUM(M36-(M36*Capa!$C$1))</f>
        <v>21.9</v>
      </c>
      <c r="G36" s="76" t="s">
        <v>139</v>
      </c>
      <c r="H36" s="77" t="s">
        <v>139</v>
      </c>
      <c r="I36" s="5"/>
      <c r="J36" s="420">
        <v>21.9</v>
      </c>
      <c r="K36" s="421">
        <v>21.9</v>
      </c>
      <c r="L36" s="421">
        <v>21.9</v>
      </c>
      <c r="M36" s="421">
        <v>21.9</v>
      </c>
      <c r="N36" s="76" t="s">
        <v>139</v>
      </c>
      <c r="O36" s="77" t="s">
        <v>139</v>
      </c>
    </row>
    <row r="37" spans="1:15" s="5" customFormat="1" ht="12.4" customHeight="1" x14ac:dyDescent="0.25">
      <c r="A37" s="188" t="s">
        <v>5</v>
      </c>
      <c r="B37" s="269" t="s">
        <v>161</v>
      </c>
      <c r="C37" s="190">
        <f>SUM(J37-(J37*Capa!$C$1))</f>
        <v>18.3</v>
      </c>
      <c r="D37" s="190">
        <f>SUM(K37-(K37*Capa!$C$1))</f>
        <v>18.3</v>
      </c>
      <c r="E37" s="190">
        <f>SUM(L37-(L37*Capa!$C$1))</f>
        <v>18.3</v>
      </c>
      <c r="F37" s="190">
        <f>SUM(M37-(M37*Capa!$C$1))</f>
        <v>18.3</v>
      </c>
      <c r="G37" s="248" t="s">
        <v>139</v>
      </c>
      <c r="H37" s="249" t="s">
        <v>139</v>
      </c>
      <c r="J37" s="418">
        <v>18.3</v>
      </c>
      <c r="K37" s="419">
        <v>18.3</v>
      </c>
      <c r="L37" s="419">
        <v>18.3</v>
      </c>
      <c r="M37" s="419">
        <v>18.3</v>
      </c>
      <c r="N37" s="248" t="s">
        <v>139</v>
      </c>
      <c r="O37" s="249" t="s">
        <v>139</v>
      </c>
    </row>
    <row r="38" spans="1:15" ht="12.4" customHeight="1" x14ac:dyDescent="0.25">
      <c r="A38" s="75" t="s">
        <v>8</v>
      </c>
      <c r="B38" s="171" t="s">
        <v>162</v>
      </c>
      <c r="C38" s="173">
        <f>SUM(J38-(J38*Capa!$C$1))</f>
        <v>21.9</v>
      </c>
      <c r="D38" s="173">
        <f>SUM(K38-(K38*Capa!$C$1))</f>
        <v>21.9</v>
      </c>
      <c r="E38" s="173">
        <f>SUM(L38-(L38*Capa!$C$1))</f>
        <v>21.9</v>
      </c>
      <c r="F38" s="173">
        <f>SUM(M38-(M38*Capa!$C$1))</f>
        <v>21.9</v>
      </c>
      <c r="G38" s="76" t="s">
        <v>139</v>
      </c>
      <c r="H38" s="77" t="s">
        <v>139</v>
      </c>
      <c r="I38" s="5"/>
      <c r="J38" s="420">
        <v>21.9</v>
      </c>
      <c r="K38" s="421">
        <v>21.9</v>
      </c>
      <c r="L38" s="421">
        <v>21.9</v>
      </c>
      <c r="M38" s="421">
        <v>21.9</v>
      </c>
      <c r="N38" s="76" t="s">
        <v>139</v>
      </c>
      <c r="O38" s="77" t="s">
        <v>139</v>
      </c>
    </row>
    <row r="39" spans="1:15" s="5" customFormat="1" ht="12.4" customHeight="1" x14ac:dyDescent="0.25">
      <c r="A39" s="188" t="s">
        <v>7</v>
      </c>
      <c r="B39" s="269" t="s">
        <v>163</v>
      </c>
      <c r="C39" s="190">
        <f>SUM(J39-(J39*Capa!$C$1))</f>
        <v>18.3</v>
      </c>
      <c r="D39" s="190">
        <f>SUM(K39-(K39*Capa!$C$1))</f>
        <v>18.3</v>
      </c>
      <c r="E39" s="190">
        <f>SUM(L39-(L39*Capa!$C$1))</f>
        <v>18.3</v>
      </c>
      <c r="F39" s="190">
        <f>SUM(M39-(M39*Capa!$C$1))</f>
        <v>18.3</v>
      </c>
      <c r="G39" s="248" t="s">
        <v>139</v>
      </c>
      <c r="H39" s="249" t="s">
        <v>139</v>
      </c>
      <c r="J39" s="418">
        <v>18.3</v>
      </c>
      <c r="K39" s="419">
        <v>18.3</v>
      </c>
      <c r="L39" s="419">
        <v>18.3</v>
      </c>
      <c r="M39" s="419">
        <v>18.3</v>
      </c>
      <c r="N39" s="248" t="s">
        <v>139</v>
      </c>
      <c r="O39" s="249" t="s">
        <v>139</v>
      </c>
    </row>
    <row r="40" spans="1:15" ht="12.4" customHeight="1" x14ac:dyDescent="0.25">
      <c r="A40" s="75" t="s">
        <v>9</v>
      </c>
      <c r="B40" s="171" t="s">
        <v>173</v>
      </c>
      <c r="C40" s="173">
        <f>SUM(J40-(J40*Capa!$C$1))</f>
        <v>21.9</v>
      </c>
      <c r="D40" s="173">
        <f>SUM(K40-(K40*Capa!$C$1))</f>
        <v>21.9</v>
      </c>
      <c r="E40" s="173">
        <f>SUM(L40-(L40*Capa!$C$1))</f>
        <v>21.9</v>
      </c>
      <c r="F40" s="173">
        <f>SUM(M40-(M40*Capa!$C$1))</f>
        <v>21.9</v>
      </c>
      <c r="G40" s="76" t="s">
        <v>139</v>
      </c>
      <c r="H40" s="77" t="s">
        <v>139</v>
      </c>
      <c r="I40" s="5"/>
      <c r="J40" s="420">
        <v>21.9</v>
      </c>
      <c r="K40" s="421">
        <v>21.9</v>
      </c>
      <c r="L40" s="421">
        <v>21.9</v>
      </c>
      <c r="M40" s="421">
        <v>21.9</v>
      </c>
      <c r="N40" s="76" t="s">
        <v>139</v>
      </c>
      <c r="O40" s="77" t="s">
        <v>139</v>
      </c>
    </row>
    <row r="41" spans="1:15" s="5" customFormat="1" ht="12.4" customHeight="1" x14ac:dyDescent="0.25">
      <c r="A41" s="188" t="s">
        <v>32</v>
      </c>
      <c r="B41" s="269" t="s">
        <v>174</v>
      </c>
      <c r="C41" s="190">
        <f>SUM(J41-(J41*Capa!$C$1))</f>
        <v>18.3</v>
      </c>
      <c r="D41" s="190">
        <f>SUM(K41-(K41*Capa!$C$1))</f>
        <v>18.3</v>
      </c>
      <c r="E41" s="190">
        <f>SUM(L41-(L41*Capa!$C$1))</f>
        <v>18.3</v>
      </c>
      <c r="F41" s="190">
        <f>SUM(M41-(M41*Capa!$C$1))</f>
        <v>18.3</v>
      </c>
      <c r="G41" s="248" t="s">
        <v>139</v>
      </c>
      <c r="H41" s="249" t="s">
        <v>139</v>
      </c>
      <c r="J41" s="418">
        <v>18.3</v>
      </c>
      <c r="K41" s="419">
        <v>18.3</v>
      </c>
      <c r="L41" s="419">
        <v>18.3</v>
      </c>
      <c r="M41" s="419">
        <v>18.3</v>
      </c>
      <c r="N41" s="248" t="s">
        <v>139</v>
      </c>
      <c r="O41" s="249" t="s">
        <v>139</v>
      </c>
    </row>
    <row r="42" spans="1:15" ht="12.4" customHeight="1" x14ac:dyDescent="0.25">
      <c r="A42" s="75" t="s">
        <v>41</v>
      </c>
      <c r="B42" s="171" t="s">
        <v>169</v>
      </c>
      <c r="C42" s="173">
        <f>SUM(J42-(J42*Capa!$C$1))</f>
        <v>43.45</v>
      </c>
      <c r="D42" s="173">
        <f>SUM(K42-(K42*Capa!$C$1))</f>
        <v>43.45</v>
      </c>
      <c r="E42" s="173">
        <f>SUM(L42-(L42*Capa!$C$1))</f>
        <v>43.45</v>
      </c>
      <c r="F42" s="173">
        <f>SUM(M42-(M42*Capa!$C$1))</f>
        <v>43.45</v>
      </c>
      <c r="G42" s="76" t="s">
        <v>139</v>
      </c>
      <c r="H42" s="77" t="s">
        <v>139</v>
      </c>
      <c r="I42" s="5"/>
      <c r="J42" s="420">
        <v>43.45</v>
      </c>
      <c r="K42" s="421">
        <v>43.45</v>
      </c>
      <c r="L42" s="421">
        <v>43.45</v>
      </c>
      <c r="M42" s="421">
        <v>43.45</v>
      </c>
      <c r="N42" s="76" t="s">
        <v>139</v>
      </c>
      <c r="O42" s="77" t="s">
        <v>139</v>
      </c>
    </row>
    <row r="43" spans="1:15" s="5" customFormat="1" ht="12.4" customHeight="1" x14ac:dyDescent="0.25">
      <c r="A43" s="188" t="s">
        <v>42</v>
      </c>
      <c r="B43" s="269" t="s">
        <v>170</v>
      </c>
      <c r="C43" s="190">
        <f>SUM(J43-(J43*Capa!$C$1))</f>
        <v>43.45</v>
      </c>
      <c r="D43" s="190">
        <f>SUM(K43-(K43*Capa!$C$1))</f>
        <v>43.45</v>
      </c>
      <c r="E43" s="190">
        <f>SUM(L43-(L43*Capa!$C$1))</f>
        <v>43.45</v>
      </c>
      <c r="F43" s="190">
        <f>SUM(M43-(M43*Capa!$C$1))</f>
        <v>43.45</v>
      </c>
      <c r="G43" s="250" t="s">
        <v>139</v>
      </c>
      <c r="H43" s="251" t="s">
        <v>139</v>
      </c>
      <c r="J43" s="418">
        <v>43.45</v>
      </c>
      <c r="K43" s="419">
        <v>43.45</v>
      </c>
      <c r="L43" s="419">
        <v>43.45</v>
      </c>
      <c r="M43" s="419">
        <v>43.45</v>
      </c>
      <c r="N43" s="250" t="s">
        <v>139</v>
      </c>
      <c r="O43" s="251" t="s">
        <v>139</v>
      </c>
    </row>
    <row r="44" spans="1:15" ht="12.4" customHeight="1" x14ac:dyDescent="0.25">
      <c r="A44" s="75" t="s">
        <v>82</v>
      </c>
      <c r="B44" s="171" t="s">
        <v>171</v>
      </c>
      <c r="C44" s="173">
        <f>SUM(J44-(J44*Capa!$C$1))</f>
        <v>43.45</v>
      </c>
      <c r="D44" s="173">
        <f>SUM(K44-(K44*Capa!$C$1))</f>
        <v>43.45</v>
      </c>
      <c r="E44" s="173">
        <f>SUM(L44-(L44*Capa!$C$1))</f>
        <v>43.45</v>
      </c>
      <c r="F44" s="173">
        <f>SUM(M44-(M44*Capa!$C$1))</f>
        <v>43.45</v>
      </c>
      <c r="G44" s="76" t="s">
        <v>139</v>
      </c>
      <c r="H44" s="77" t="s">
        <v>139</v>
      </c>
      <c r="I44" s="5"/>
      <c r="J44" s="420">
        <v>43.45</v>
      </c>
      <c r="K44" s="421">
        <v>43.45</v>
      </c>
      <c r="L44" s="421">
        <v>43.45</v>
      </c>
      <c r="M44" s="421">
        <v>43.45</v>
      </c>
      <c r="N44" s="76" t="s">
        <v>139</v>
      </c>
      <c r="O44" s="77" t="s">
        <v>139</v>
      </c>
    </row>
    <row r="45" spans="1:15" s="5" customFormat="1" ht="12.4" customHeight="1" x14ac:dyDescent="0.25">
      <c r="A45" s="188" t="s">
        <v>94</v>
      </c>
      <c r="B45" s="269" t="s">
        <v>172</v>
      </c>
      <c r="C45" s="190">
        <f>SUM(J45-(J45*Capa!$C$1))</f>
        <v>43.45</v>
      </c>
      <c r="D45" s="190">
        <f>SUM(K45-(K45*Capa!$C$1))</f>
        <v>43.45</v>
      </c>
      <c r="E45" s="190">
        <f>SUM(L45-(L45*Capa!$C$1))</f>
        <v>43.45</v>
      </c>
      <c r="F45" s="190">
        <f>SUM(M45-(M45*Capa!$C$1))</f>
        <v>43.45</v>
      </c>
      <c r="G45" s="250" t="s">
        <v>139</v>
      </c>
      <c r="H45" s="251" t="s">
        <v>139</v>
      </c>
      <c r="J45" s="418">
        <v>43.45</v>
      </c>
      <c r="K45" s="419">
        <v>43.45</v>
      </c>
      <c r="L45" s="419">
        <v>43.45</v>
      </c>
      <c r="M45" s="419">
        <v>43.45</v>
      </c>
      <c r="N45" s="250" t="s">
        <v>139</v>
      </c>
      <c r="O45" s="251" t="s">
        <v>139</v>
      </c>
    </row>
    <row r="46" spans="1:15" s="5" customFormat="1" ht="12.4" customHeight="1" x14ac:dyDescent="0.25">
      <c r="A46" s="75" t="s">
        <v>127</v>
      </c>
      <c r="B46" s="171" t="s">
        <v>280</v>
      </c>
      <c r="C46" s="173">
        <f>SUM(J46-(J46*Capa!$C$1))</f>
        <v>18.53</v>
      </c>
      <c r="D46" s="173">
        <f>SUM(K46-(K46*Capa!$C$1))</f>
        <v>18.53</v>
      </c>
      <c r="E46" s="173">
        <f>SUM(L46-(L46*Capa!$C$1))</f>
        <v>18.53</v>
      </c>
      <c r="F46" s="173">
        <f>SUM(M46-(M46*Capa!$C$1))</f>
        <v>18.53</v>
      </c>
      <c r="G46" s="81" t="s">
        <v>139</v>
      </c>
      <c r="H46" s="82" t="s">
        <v>139</v>
      </c>
      <c r="J46" s="416">
        <v>18.53</v>
      </c>
      <c r="K46" s="417">
        <v>18.53</v>
      </c>
      <c r="L46" s="417">
        <v>18.53</v>
      </c>
      <c r="M46" s="417">
        <v>18.53</v>
      </c>
      <c r="N46" s="81" t="s">
        <v>139</v>
      </c>
      <c r="O46" s="82" t="s">
        <v>139</v>
      </c>
    </row>
    <row r="47" spans="1:15" ht="12.4" customHeight="1" x14ac:dyDescent="0.25">
      <c r="A47" s="188" t="s">
        <v>128</v>
      </c>
      <c r="B47" s="269" t="s">
        <v>281</v>
      </c>
      <c r="C47" s="190">
        <f>SUM(J47-(J47*Capa!$C$1))</f>
        <v>18.53</v>
      </c>
      <c r="D47" s="190">
        <f>SUM(K47-(K47*Capa!$C$1))</f>
        <v>18.53</v>
      </c>
      <c r="E47" s="190">
        <f>SUM(L47-(L47*Capa!$C$1))</f>
        <v>18.53</v>
      </c>
      <c r="F47" s="190">
        <f>SUM(M47-(M47*Capa!$C$1))</f>
        <v>18.53</v>
      </c>
      <c r="G47" s="250" t="s">
        <v>139</v>
      </c>
      <c r="H47" s="251" t="s">
        <v>139</v>
      </c>
      <c r="I47" s="5"/>
      <c r="J47" s="422">
        <v>18.53</v>
      </c>
      <c r="K47" s="423">
        <v>18.53</v>
      </c>
      <c r="L47" s="423">
        <v>18.53</v>
      </c>
      <c r="M47" s="423">
        <v>18.53</v>
      </c>
      <c r="N47" s="250" t="s">
        <v>139</v>
      </c>
      <c r="O47" s="251" t="s">
        <v>139</v>
      </c>
    </row>
    <row r="48" spans="1:15" s="5" customFormat="1" ht="12.4" customHeight="1" x14ac:dyDescent="0.25">
      <c r="A48" s="75" t="s">
        <v>302</v>
      </c>
      <c r="B48" s="171" t="s">
        <v>517</v>
      </c>
      <c r="C48" s="173">
        <f>SUM(J48-(J48*Capa!$C$1))</f>
        <v>32.549999999999997</v>
      </c>
      <c r="D48" s="173">
        <f>SUM(K48-(K48*Capa!$C$1))</f>
        <v>32.549999999999997</v>
      </c>
      <c r="E48" s="173">
        <f>SUM(L48-(L48*Capa!$C$1))</f>
        <v>32.549999999999997</v>
      </c>
      <c r="F48" s="173">
        <f>SUM(M48-(M48*Capa!$C$1))</f>
        <v>32.549999999999997</v>
      </c>
      <c r="G48" s="173">
        <f>SUM(N48-(N48*Capa!$C$1))</f>
        <v>32.549999999999997</v>
      </c>
      <c r="H48" s="82" t="s">
        <v>139</v>
      </c>
      <c r="J48" s="416">
        <v>32.549999999999997</v>
      </c>
      <c r="K48" s="417">
        <v>32.549999999999997</v>
      </c>
      <c r="L48" s="417">
        <v>32.549999999999997</v>
      </c>
      <c r="M48" s="417">
        <v>32.549999999999997</v>
      </c>
      <c r="N48" s="417">
        <v>32.549999999999997</v>
      </c>
      <c r="O48" s="77" t="s">
        <v>139</v>
      </c>
    </row>
    <row r="49" spans="1:15" ht="12.4" customHeight="1" x14ac:dyDescent="0.25">
      <c r="A49" s="188" t="s">
        <v>320</v>
      </c>
      <c r="B49" s="269" t="s">
        <v>518</v>
      </c>
      <c r="C49" s="190">
        <f>SUM(J49-(J49*Capa!$C$1))</f>
        <v>32.549999999999997</v>
      </c>
      <c r="D49" s="190">
        <f>SUM(K49-(K49*Capa!$C$1))</f>
        <v>32.549999999999997</v>
      </c>
      <c r="E49" s="190">
        <f>SUM(L49-(L49*Capa!$C$1))</f>
        <v>32.549999999999997</v>
      </c>
      <c r="F49" s="190">
        <f>SUM(M49-(M49*Capa!$C$1))</f>
        <v>32.549999999999997</v>
      </c>
      <c r="G49" s="190">
        <f>SUM(N49-(N49*Capa!$C$1))</f>
        <v>32.549999999999997</v>
      </c>
      <c r="H49" s="251" t="s">
        <v>139</v>
      </c>
      <c r="I49" s="5"/>
      <c r="J49" s="422">
        <v>32.549999999999997</v>
      </c>
      <c r="K49" s="423">
        <v>32.549999999999997</v>
      </c>
      <c r="L49" s="423">
        <v>32.549999999999997</v>
      </c>
      <c r="M49" s="423">
        <v>32.549999999999997</v>
      </c>
      <c r="N49" s="423">
        <v>32.549999999999997</v>
      </c>
      <c r="O49" s="249" t="s">
        <v>139</v>
      </c>
    </row>
    <row r="50" spans="1:15" s="5" customFormat="1" ht="12.4" customHeight="1" x14ac:dyDescent="0.25">
      <c r="A50" s="75" t="s">
        <v>303</v>
      </c>
      <c r="B50" s="171" t="s">
        <v>519</v>
      </c>
      <c r="C50" s="173">
        <f>SUM(J50-(J50*Capa!$C$1))</f>
        <v>18.760000000000002</v>
      </c>
      <c r="D50" s="173">
        <f>SUM(K50-(K50*Capa!$C$1))</f>
        <v>18.760000000000002</v>
      </c>
      <c r="E50" s="173">
        <f>SUM(L50-(L50*Capa!$C$1))</f>
        <v>18.760000000000002</v>
      </c>
      <c r="F50" s="173">
        <f>SUM(M50-(M50*Capa!$C$1))</f>
        <v>18.760000000000002</v>
      </c>
      <c r="G50" s="173">
        <f>SUM(N50-(N50*Capa!$C$1))</f>
        <v>18.760000000000002</v>
      </c>
      <c r="H50" s="82" t="s">
        <v>139</v>
      </c>
      <c r="J50" s="416">
        <v>18.760000000000002</v>
      </c>
      <c r="K50" s="417">
        <v>18.760000000000002</v>
      </c>
      <c r="L50" s="417">
        <v>18.760000000000002</v>
      </c>
      <c r="M50" s="417">
        <v>18.760000000000002</v>
      </c>
      <c r="N50" s="417">
        <v>18.760000000000002</v>
      </c>
      <c r="O50" s="77" t="s">
        <v>139</v>
      </c>
    </row>
    <row r="51" spans="1:15" ht="12.4" customHeight="1" x14ac:dyDescent="0.25">
      <c r="A51" s="188" t="s">
        <v>304</v>
      </c>
      <c r="B51" s="269" t="s">
        <v>520</v>
      </c>
      <c r="C51" s="190">
        <f>SUM(J51-(J51*Capa!$C$1))</f>
        <v>122.09</v>
      </c>
      <c r="D51" s="190">
        <f>SUM(K51-(K51*Capa!$C$1))</f>
        <v>122.09</v>
      </c>
      <c r="E51" s="190">
        <f>SUM(L51-(L51*Capa!$C$1))</f>
        <v>122.09</v>
      </c>
      <c r="F51" s="190">
        <f>SUM(M51-(M51*Capa!$C$1))</f>
        <v>122.09</v>
      </c>
      <c r="G51" s="190">
        <f>SUM(N51-(N51*Capa!$C$1))</f>
        <v>122.09</v>
      </c>
      <c r="H51" s="251" t="s">
        <v>139</v>
      </c>
      <c r="I51" s="5"/>
      <c r="J51" s="422">
        <v>122.09</v>
      </c>
      <c r="K51" s="423">
        <v>122.09</v>
      </c>
      <c r="L51" s="423">
        <v>122.09</v>
      </c>
      <c r="M51" s="423">
        <v>122.09</v>
      </c>
      <c r="N51" s="423">
        <v>122.09</v>
      </c>
      <c r="O51" s="249" t="s">
        <v>139</v>
      </c>
    </row>
    <row r="52" spans="1:15" s="5" customFormat="1" ht="12.4" customHeight="1" x14ac:dyDescent="0.25">
      <c r="A52" s="75" t="s">
        <v>305</v>
      </c>
      <c r="B52" s="171" t="s">
        <v>521</v>
      </c>
      <c r="C52" s="173">
        <f>SUM(J52-(J52*Capa!$C$1))</f>
        <v>108.4</v>
      </c>
      <c r="D52" s="173">
        <f>SUM(K52-(K52*Capa!$C$1))</f>
        <v>108.4</v>
      </c>
      <c r="E52" s="173">
        <f>SUM(L52-(L52*Capa!$C$1))</f>
        <v>108.4</v>
      </c>
      <c r="F52" s="173">
        <f>SUM(M52-(M52*Capa!$C$1))</f>
        <v>108.4</v>
      </c>
      <c r="G52" s="173">
        <f>SUM(N52-(N52*Capa!$C$1))</f>
        <v>108.4</v>
      </c>
      <c r="H52" s="82" t="s">
        <v>139</v>
      </c>
      <c r="J52" s="416">
        <v>108.4</v>
      </c>
      <c r="K52" s="417">
        <v>108.4</v>
      </c>
      <c r="L52" s="417">
        <v>108.4</v>
      </c>
      <c r="M52" s="417">
        <v>108.4</v>
      </c>
      <c r="N52" s="417">
        <v>108.4</v>
      </c>
      <c r="O52" s="77" t="s">
        <v>139</v>
      </c>
    </row>
    <row r="53" spans="1:15" s="5" customFormat="1" ht="12.4" customHeight="1" x14ac:dyDescent="0.25">
      <c r="A53" s="322" t="s">
        <v>406</v>
      </c>
      <c r="B53" s="269" t="s">
        <v>407</v>
      </c>
      <c r="C53" s="190">
        <f>SUM(J53-(J53*Capa!$C$1))</f>
        <v>51.36</v>
      </c>
      <c r="D53" s="190">
        <f>SUM(K53-(K53*Capa!$C$1))</f>
        <v>51.36</v>
      </c>
      <c r="E53" s="190">
        <f>SUM(L53-(L53*Capa!$C$1))</f>
        <v>51.36</v>
      </c>
      <c r="F53" s="190">
        <f>SUM(M53-(M53*Capa!$C$1))</f>
        <v>51.36</v>
      </c>
      <c r="G53" s="352" t="s">
        <v>139</v>
      </c>
      <c r="H53" s="353" t="s">
        <v>139</v>
      </c>
      <c r="J53" s="429">
        <v>51.36</v>
      </c>
      <c r="K53" s="430">
        <v>51.36</v>
      </c>
      <c r="L53" s="430">
        <v>51.36</v>
      </c>
      <c r="M53" s="430">
        <v>51.36</v>
      </c>
      <c r="N53" s="248" t="s">
        <v>139</v>
      </c>
      <c r="O53" s="249" t="s">
        <v>139</v>
      </c>
    </row>
    <row r="54" spans="1:15" s="5" customFormat="1" ht="12.4" customHeight="1" x14ac:dyDescent="0.25">
      <c r="A54" s="78" t="s">
        <v>108</v>
      </c>
      <c r="B54" s="171" t="s">
        <v>573</v>
      </c>
      <c r="C54" s="173">
        <f>SUM(J54-(J54*Capa!$C$1))</f>
        <v>13.46</v>
      </c>
      <c r="D54" s="173">
        <f>SUM(K54-(K54*Capa!$C$1))</f>
        <v>13.46</v>
      </c>
      <c r="E54" s="173">
        <f>SUM(L54-(L54*Capa!$C$1))</f>
        <v>13.46</v>
      </c>
      <c r="F54" s="173">
        <f>SUM(M54-(M54*Capa!$C$1))</f>
        <v>13.46</v>
      </c>
      <c r="G54" s="79" t="s">
        <v>139</v>
      </c>
      <c r="H54" s="80" t="s">
        <v>139</v>
      </c>
      <c r="J54" s="426">
        <v>13.46</v>
      </c>
      <c r="K54" s="427">
        <v>13.46</v>
      </c>
      <c r="L54" s="427">
        <v>13.46</v>
      </c>
      <c r="M54" s="427">
        <v>13.46</v>
      </c>
      <c r="N54" s="76" t="s">
        <v>139</v>
      </c>
      <c r="O54" s="77" t="s">
        <v>139</v>
      </c>
    </row>
    <row r="55" spans="1:15" ht="12.4" customHeight="1" x14ac:dyDescent="0.25">
      <c r="A55" s="188" t="s">
        <v>0</v>
      </c>
      <c r="B55" s="269" t="s">
        <v>574</v>
      </c>
      <c r="C55" s="190">
        <f>SUM(J55-(J55*Capa!$C$1))</f>
        <v>12.74</v>
      </c>
      <c r="D55" s="190">
        <f>SUM(K55-(K55*Capa!$C$1))</f>
        <v>12.74</v>
      </c>
      <c r="E55" s="190">
        <f>SUM(L55-(L55*Capa!$C$1))</f>
        <v>12.74</v>
      </c>
      <c r="F55" s="190">
        <f>SUM(M55-(M55*Capa!$C$1))</f>
        <v>12.74</v>
      </c>
      <c r="G55" s="248" t="s">
        <v>139</v>
      </c>
      <c r="H55" s="249" t="s">
        <v>139</v>
      </c>
      <c r="I55" s="5"/>
      <c r="J55" s="418">
        <v>12.74</v>
      </c>
      <c r="K55" s="419">
        <v>12.74</v>
      </c>
      <c r="L55" s="419">
        <v>12.74</v>
      </c>
      <c r="M55" s="419">
        <v>12.74</v>
      </c>
      <c r="N55" s="248" t="s">
        <v>139</v>
      </c>
      <c r="O55" s="249" t="s">
        <v>139</v>
      </c>
    </row>
    <row r="56" spans="1:15" s="5" customFormat="1" ht="12.4" customHeight="1" x14ac:dyDescent="0.25">
      <c r="A56" s="75" t="s">
        <v>11</v>
      </c>
      <c r="B56" s="171" t="s">
        <v>575</v>
      </c>
      <c r="C56" s="173">
        <f>SUM(J56-(J56*Capa!$C$1))</f>
        <v>19.82</v>
      </c>
      <c r="D56" s="173">
        <f>SUM(K56-(K56*Capa!$C$1))</f>
        <v>19.82</v>
      </c>
      <c r="E56" s="173">
        <f>SUM(L56-(L56*Capa!$C$1))</f>
        <v>19.82</v>
      </c>
      <c r="F56" s="173">
        <f>SUM(M56-(M56*Capa!$C$1))</f>
        <v>19.82</v>
      </c>
      <c r="G56" s="76" t="s">
        <v>139</v>
      </c>
      <c r="H56" s="77" t="s">
        <v>139</v>
      </c>
      <c r="J56" s="420">
        <v>19.82</v>
      </c>
      <c r="K56" s="421">
        <v>19.82</v>
      </c>
      <c r="L56" s="421">
        <v>19.82</v>
      </c>
      <c r="M56" s="421">
        <v>19.82</v>
      </c>
      <c r="N56" s="76" t="s">
        <v>139</v>
      </c>
      <c r="O56" s="77" t="s">
        <v>139</v>
      </c>
    </row>
    <row r="57" spans="1:15" ht="12.4" customHeight="1" x14ac:dyDescent="0.25">
      <c r="A57" s="188" t="s">
        <v>103</v>
      </c>
      <c r="B57" s="269" t="s">
        <v>576</v>
      </c>
      <c r="C57" s="190">
        <f>SUM(J57-(J57*Capa!$C$1))</f>
        <v>6.56</v>
      </c>
      <c r="D57" s="190">
        <f>SUM(K57-(K57*Capa!$C$1))</f>
        <v>6.56</v>
      </c>
      <c r="E57" s="190">
        <f>SUM(L57-(L57*Capa!$C$1))</f>
        <v>6.56</v>
      </c>
      <c r="F57" s="190">
        <f>SUM(M57-(M57*Capa!$C$1))</f>
        <v>6.56</v>
      </c>
      <c r="G57" s="250" t="s">
        <v>139</v>
      </c>
      <c r="H57" s="251" t="s">
        <v>139</v>
      </c>
      <c r="I57" s="5"/>
      <c r="J57" s="422">
        <v>6.56</v>
      </c>
      <c r="K57" s="423">
        <v>6.56</v>
      </c>
      <c r="L57" s="423">
        <v>6.56</v>
      </c>
      <c r="M57" s="423">
        <v>6.56</v>
      </c>
      <c r="N57" s="248" t="s">
        <v>139</v>
      </c>
      <c r="O57" s="249" t="s">
        <v>139</v>
      </c>
    </row>
    <row r="58" spans="1:15" s="5" customFormat="1" ht="12.4" customHeight="1" x14ac:dyDescent="0.25">
      <c r="A58" s="75" t="s">
        <v>104</v>
      </c>
      <c r="B58" s="171" t="s">
        <v>577</v>
      </c>
      <c r="C58" s="173">
        <f>SUM(J58-(J58*Capa!$C$1))</f>
        <v>6.34</v>
      </c>
      <c r="D58" s="173">
        <f>SUM(K58-(K58*Capa!$C$1))</f>
        <v>6.34</v>
      </c>
      <c r="E58" s="173">
        <f>SUM(L58-(L58*Capa!$C$1))</f>
        <v>6.34</v>
      </c>
      <c r="F58" s="173">
        <f>SUM(M58-(M58*Capa!$C$1))</f>
        <v>6.34</v>
      </c>
      <c r="G58" s="81" t="s">
        <v>139</v>
      </c>
      <c r="H58" s="82" t="s">
        <v>139</v>
      </c>
      <c r="J58" s="416">
        <v>6.34</v>
      </c>
      <c r="K58" s="417">
        <v>6.34</v>
      </c>
      <c r="L58" s="417">
        <v>6.34</v>
      </c>
      <c r="M58" s="417">
        <v>6.34</v>
      </c>
      <c r="N58" s="76" t="s">
        <v>139</v>
      </c>
      <c r="O58" s="77" t="s">
        <v>139</v>
      </c>
    </row>
    <row r="59" spans="1:15" ht="12.4" customHeight="1" thickBot="1" x14ac:dyDescent="0.3">
      <c r="A59" s="263" t="s">
        <v>46</v>
      </c>
      <c r="B59" s="272" t="s">
        <v>578</v>
      </c>
      <c r="C59" s="324">
        <f>SUM(J59-(J59*Capa!$C$1))</f>
        <v>22.37</v>
      </c>
      <c r="D59" s="324">
        <f>SUM(K59-(K59*Capa!$C$1))</f>
        <v>22.37</v>
      </c>
      <c r="E59" s="324">
        <f>SUM(L59-(L59*Capa!$C$1))</f>
        <v>22.37</v>
      </c>
      <c r="F59" s="324">
        <f>SUM(M59-(M59*Capa!$C$1))</f>
        <v>22.37</v>
      </c>
      <c r="G59" s="354" t="s">
        <v>139</v>
      </c>
      <c r="H59" s="355" t="s">
        <v>139</v>
      </c>
      <c r="I59" s="5"/>
      <c r="J59" s="435">
        <v>22.37</v>
      </c>
      <c r="K59" s="436">
        <v>22.37</v>
      </c>
      <c r="L59" s="436">
        <v>22.37</v>
      </c>
      <c r="M59" s="436">
        <v>22.37</v>
      </c>
      <c r="N59" s="437" t="s">
        <v>139</v>
      </c>
      <c r="O59" s="438" t="s">
        <v>139</v>
      </c>
    </row>
  </sheetData>
  <sheetProtection sheet="1" objects="1" scenarios="1"/>
  <mergeCells count="3">
    <mergeCell ref="A5:H5"/>
    <mergeCell ref="A26:H26"/>
    <mergeCell ref="A1:H1"/>
  </mergeCells>
  <conditionalFormatting sqref="G7:H25">
    <cfRule type="cellIs" dxfId="11" priority="80" stopIfTrue="1" operator="equal">
      <formula>0</formula>
    </cfRule>
  </conditionalFormatting>
  <conditionalFormatting sqref="G34:H42 G55:H56">
    <cfRule type="cellIs" dxfId="10" priority="494" stopIfTrue="1" operator="equal">
      <formula>0</formula>
    </cfRule>
  </conditionalFormatting>
  <conditionalFormatting sqref="G44:H44">
    <cfRule type="cellIs" dxfId="9" priority="489" stopIfTrue="1" operator="equal">
      <formula>0</formula>
    </cfRule>
  </conditionalFormatting>
  <conditionalFormatting sqref="J8:M14">
    <cfRule type="cellIs" dxfId="8" priority="25" stopIfTrue="1" operator="equal">
      <formula>0</formula>
    </cfRule>
  </conditionalFormatting>
  <conditionalFormatting sqref="J18:M19">
    <cfRule type="cellIs" dxfId="7" priority="23" stopIfTrue="1" operator="equal">
      <formula>0</formula>
    </cfRule>
  </conditionalFormatting>
  <conditionalFormatting sqref="J34:M45">
    <cfRule type="cellIs" dxfId="6" priority="11" stopIfTrue="1" operator="equal">
      <formula>0</formula>
    </cfRule>
  </conditionalFormatting>
  <conditionalFormatting sqref="J55:M56">
    <cfRule type="cellIs" dxfId="5" priority="13" stopIfTrue="1" operator="equal">
      <formula>0</formula>
    </cfRule>
  </conditionalFormatting>
  <conditionalFormatting sqref="J31:O32">
    <cfRule type="cellIs" dxfId="4" priority="9" stopIfTrue="1" operator="equal">
      <formula>0</formula>
    </cfRule>
  </conditionalFormatting>
  <conditionalFormatting sqref="N53:N59">
    <cfRule type="cellIs" dxfId="3" priority="1" stopIfTrue="1" operator="equal">
      <formula>0</formula>
    </cfRule>
  </conditionalFormatting>
  <conditionalFormatting sqref="N7:O25">
    <cfRule type="cellIs" dxfId="2" priority="81" stopIfTrue="1" operator="equal">
      <formula>0</formula>
    </cfRule>
  </conditionalFormatting>
  <conditionalFormatting sqref="N34:O42 N44:O44">
    <cfRule type="cellIs" dxfId="1" priority="7" stopIfTrue="1" operator="equal">
      <formula>0</formula>
    </cfRule>
  </conditionalFormatting>
  <conditionalFormatting sqref="O48:O59">
    <cfRule type="cellIs" dxfId="0" priority="3" stopIfTrue="1" operator="equal">
      <formula>0</formula>
    </cfRule>
  </conditionalFormatting>
  <printOptions horizontalCentered="1"/>
  <pageMargins left="0.23622047244094491" right="0.23622047244094491" top="0.39370078740157483" bottom="0.19685039370078741" header="0.19685039370078741" footer="0"/>
  <pageSetup paperSize="9" orientation="portrait" r:id="rId1"/>
  <headerFooter alignWithMargins="0">
    <oddFooter>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6"/>
  <dimension ref="A1:O66"/>
  <sheetViews>
    <sheetView showGridLines="0" showWhiteSpace="0" view="pageLayout" zoomScaleNormal="100" workbookViewId="0">
      <selection sqref="A1:H1"/>
    </sheetView>
  </sheetViews>
  <sheetFormatPr defaultColWidth="7.28515625" defaultRowHeight="12.75" x14ac:dyDescent="0.2"/>
  <cols>
    <col min="1" max="1" width="11.7109375" style="49" customWidth="1"/>
    <col min="2" max="2" width="40.28515625" style="49" customWidth="1"/>
    <col min="3" max="8" width="9.28515625" style="49" customWidth="1"/>
    <col min="9" max="9" width="7.28515625" style="49"/>
    <col min="10" max="15" width="8.7109375" style="107" hidden="1" customWidth="1"/>
    <col min="16" max="16384" width="7.28515625" style="49"/>
  </cols>
  <sheetData>
    <row r="1" spans="1:15" ht="25.5" customHeight="1" x14ac:dyDescent="0.2">
      <c r="A1" s="775" t="s">
        <v>416</v>
      </c>
      <c r="B1" s="776"/>
      <c r="C1" s="776"/>
      <c r="D1" s="776"/>
      <c r="E1" s="776"/>
      <c r="F1" s="776"/>
      <c r="G1" s="776"/>
      <c r="H1" s="777"/>
    </row>
    <row r="2" spans="1:15" s="5" customFormat="1" ht="12" customHeight="1" thickBot="1" x14ac:dyDescent="0.3">
      <c r="A2" s="778" t="s">
        <v>118</v>
      </c>
      <c r="B2" s="704"/>
      <c r="C2" s="704"/>
      <c r="D2" s="704"/>
      <c r="E2" s="704"/>
      <c r="F2" s="704"/>
      <c r="G2" s="704"/>
      <c r="H2" s="779"/>
      <c r="I2" s="105"/>
      <c r="J2" s="108"/>
      <c r="K2" s="108"/>
      <c r="L2" s="108"/>
      <c r="M2" s="108"/>
      <c r="N2" s="108"/>
      <c r="O2" s="108"/>
    </row>
    <row r="3" spans="1:15" ht="12" customHeight="1" x14ac:dyDescent="0.2">
      <c r="A3" s="458" t="s">
        <v>113</v>
      </c>
      <c r="B3" s="455" t="s">
        <v>114</v>
      </c>
      <c r="C3" s="455" t="s">
        <v>492</v>
      </c>
      <c r="D3" s="273" t="s">
        <v>673</v>
      </c>
      <c r="E3" s="274" t="s">
        <v>671</v>
      </c>
      <c r="F3" s="274" t="s">
        <v>672</v>
      </c>
      <c r="G3" s="274" t="s">
        <v>15</v>
      </c>
      <c r="H3" s="275" t="s">
        <v>16</v>
      </c>
      <c r="I3" s="23"/>
      <c r="J3" s="186" t="s">
        <v>492</v>
      </c>
      <c r="K3" s="276" t="s">
        <v>673</v>
      </c>
      <c r="L3" s="277" t="s">
        <v>671</v>
      </c>
      <c r="M3" s="277" t="s">
        <v>672</v>
      </c>
      <c r="N3" s="277" t="s">
        <v>15</v>
      </c>
      <c r="O3" s="278" t="s">
        <v>16</v>
      </c>
    </row>
    <row r="4" spans="1:15" ht="12" customHeight="1" x14ac:dyDescent="0.2">
      <c r="A4" s="99" t="s">
        <v>229</v>
      </c>
      <c r="B4" s="454" t="s">
        <v>488</v>
      </c>
      <c r="C4" s="177">
        <f>SUM(J4-(J4*Capa!$C$1))</f>
        <v>7.15</v>
      </c>
      <c r="D4" s="177">
        <f>SUM(K4-(K4*Capa!$C$1))</f>
        <v>7.15</v>
      </c>
      <c r="E4" s="177">
        <f>SUM(L4-(L4*Capa!$C$1))</f>
        <v>7.15</v>
      </c>
      <c r="F4" s="177">
        <f>SUM(M4-(M4*Capa!$C$1))</f>
        <v>7.15</v>
      </c>
      <c r="G4" s="177">
        <f>SUM(N4-(N4*Capa!$C$1))</f>
        <v>7.15</v>
      </c>
      <c r="H4" s="33">
        <f>SUM(O4-(O4*Capa!$C$1))</f>
        <v>7.15</v>
      </c>
      <c r="J4" s="112">
        <v>7.15</v>
      </c>
      <c r="K4" s="177">
        <v>7.15</v>
      </c>
      <c r="L4" s="177">
        <v>7.15</v>
      </c>
      <c r="M4" s="177">
        <v>7.15</v>
      </c>
      <c r="N4" s="177">
        <v>7.15</v>
      </c>
      <c r="O4" s="31">
        <v>7.15</v>
      </c>
    </row>
    <row r="5" spans="1:15" ht="12" customHeight="1" x14ac:dyDescent="0.2">
      <c r="A5" s="279" t="s">
        <v>230</v>
      </c>
      <c r="B5" s="453" t="s">
        <v>489</v>
      </c>
      <c r="C5" s="227">
        <f>SUM(J5-(J5*Capa!$C$1))</f>
        <v>10.38</v>
      </c>
      <c r="D5" s="227">
        <f>SUM(K5-(K5*Capa!$C$1))</f>
        <v>10.38</v>
      </c>
      <c r="E5" s="227">
        <f>SUM(L5-(L5*Capa!$C$1))</f>
        <v>10.38</v>
      </c>
      <c r="F5" s="227">
        <f>SUM(M5-(M5*Capa!$C$1))</f>
        <v>10.38</v>
      </c>
      <c r="G5" s="227">
        <f>SUM(N5-(N5*Capa!$C$1))</f>
        <v>10.38</v>
      </c>
      <c r="H5" s="285">
        <f>SUM(O5-(O5*Capa!$C$1))</f>
        <v>10.38</v>
      </c>
      <c r="J5" s="280">
        <v>10.38</v>
      </c>
      <c r="K5" s="227">
        <v>10.38</v>
      </c>
      <c r="L5" s="227">
        <v>10.38</v>
      </c>
      <c r="M5" s="227">
        <v>10.38</v>
      </c>
      <c r="N5" s="227">
        <v>10.38</v>
      </c>
      <c r="O5" s="202">
        <v>10.38</v>
      </c>
    </row>
    <row r="6" spans="1:15" ht="12" customHeight="1" x14ac:dyDescent="0.2">
      <c r="A6" s="99" t="s">
        <v>409</v>
      </c>
      <c r="B6" s="454" t="s">
        <v>490</v>
      </c>
      <c r="C6" s="102" t="s">
        <v>139</v>
      </c>
      <c r="D6" s="177">
        <f>SUM(K6-(K6*Capa!$C$1))</f>
        <v>10.42</v>
      </c>
      <c r="E6" s="177">
        <f>SUM(L6-(L6*Capa!$C$1))</f>
        <v>10.42</v>
      </c>
      <c r="F6" s="177">
        <f>SUM(M6-(M6*Capa!$C$1))</f>
        <v>10.42</v>
      </c>
      <c r="G6" s="177">
        <f>SUM(N6-(N6*Capa!$C$1))</f>
        <v>10.42</v>
      </c>
      <c r="H6" s="33">
        <f>SUM(O6-(O6*Capa!$C$1))</f>
        <v>10.42</v>
      </c>
      <c r="J6" s="229" t="s">
        <v>139</v>
      </c>
      <c r="K6" s="177">
        <v>10.42</v>
      </c>
      <c r="L6" s="177">
        <v>10.42</v>
      </c>
      <c r="M6" s="177">
        <v>10.42</v>
      </c>
      <c r="N6" s="177">
        <v>10.42</v>
      </c>
      <c r="O6" s="33">
        <v>10.42</v>
      </c>
    </row>
    <row r="7" spans="1:15" ht="12" customHeight="1" thickBot="1" x14ac:dyDescent="0.25">
      <c r="A7" s="279" t="s">
        <v>408</v>
      </c>
      <c r="B7" s="453" t="s">
        <v>491</v>
      </c>
      <c r="C7" s="284" t="s">
        <v>139</v>
      </c>
      <c r="D7" s="227">
        <f>SUM(K7-(K7*Capa!$C$1))</f>
        <v>14.74</v>
      </c>
      <c r="E7" s="227">
        <f>SUM(L7-(L7*Capa!$C$1))</f>
        <v>14.74</v>
      </c>
      <c r="F7" s="227">
        <f>SUM(M7-(M7*Capa!$C$1))</f>
        <v>14.74</v>
      </c>
      <c r="G7" s="227">
        <f>SUM(N7-(N7*Capa!$C$1))</f>
        <v>14.74</v>
      </c>
      <c r="H7" s="285">
        <f>SUM(O7-(O7*Capa!$C$1))</f>
        <v>14.74</v>
      </c>
      <c r="J7" s="281" t="s">
        <v>139</v>
      </c>
      <c r="K7" s="282">
        <v>14.74</v>
      </c>
      <c r="L7" s="282">
        <v>14.74</v>
      </c>
      <c r="M7" s="282">
        <v>14.74</v>
      </c>
      <c r="N7" s="282">
        <v>14.74</v>
      </c>
      <c r="O7" s="283">
        <v>14.74</v>
      </c>
    </row>
    <row r="8" spans="1:15" ht="12" customHeight="1" x14ac:dyDescent="0.2">
      <c r="A8" s="780" t="s">
        <v>118</v>
      </c>
      <c r="B8" s="781"/>
      <c r="C8" s="781"/>
      <c r="D8" s="781"/>
      <c r="E8" s="781"/>
      <c r="F8" s="781"/>
      <c r="G8" s="781"/>
      <c r="H8" s="782"/>
    </row>
    <row r="9" spans="1:15" s="466" customFormat="1" ht="24.95" customHeight="1" thickBot="1" x14ac:dyDescent="0.25">
      <c r="A9" s="790" t="s">
        <v>776</v>
      </c>
      <c r="B9" s="791"/>
      <c r="C9" s="791"/>
      <c r="D9" s="791"/>
      <c r="E9" s="791"/>
      <c r="F9" s="791"/>
      <c r="G9" s="791"/>
      <c r="H9" s="792"/>
    </row>
    <row r="10" spans="1:15" s="466" customFormat="1" ht="11.25" customHeight="1" x14ac:dyDescent="0.2">
      <c r="A10" s="795" t="s">
        <v>114</v>
      </c>
      <c r="B10" s="796"/>
      <c r="C10" s="796"/>
      <c r="D10" s="796"/>
      <c r="E10" s="796"/>
      <c r="F10" s="796"/>
      <c r="G10" s="793" t="s">
        <v>777</v>
      </c>
      <c r="H10" s="794"/>
      <c r="J10" s="797" t="s">
        <v>777</v>
      </c>
      <c r="K10" s="798"/>
    </row>
    <row r="11" spans="1:15" s="466" customFormat="1" ht="11.25" customHeight="1" x14ac:dyDescent="0.2">
      <c r="A11" s="761" t="s">
        <v>778</v>
      </c>
      <c r="B11" s="762"/>
      <c r="C11" s="762"/>
      <c r="D11" s="762"/>
      <c r="E11" s="762"/>
      <c r="F11" s="762"/>
      <c r="G11" s="767">
        <f>'Cor Metal'!H9</f>
        <v>6.25</v>
      </c>
      <c r="H11" s="768"/>
      <c r="J11" s="799"/>
      <c r="K11" s="800"/>
    </row>
    <row r="12" spans="1:15" s="466" customFormat="1" ht="11.25" customHeight="1" thickBot="1" x14ac:dyDescent="0.25">
      <c r="A12" s="763" t="s">
        <v>779</v>
      </c>
      <c r="B12" s="764"/>
      <c r="C12" s="764"/>
      <c r="D12" s="764"/>
      <c r="E12" s="764"/>
      <c r="F12" s="764"/>
      <c r="G12" s="758">
        <f>'Cor Metal'!H10</f>
        <v>9.5399999999999991</v>
      </c>
      <c r="H12" s="759"/>
      <c r="J12" s="788"/>
      <c r="K12" s="789"/>
    </row>
    <row r="13" spans="1:15" ht="25.5" customHeight="1" thickBot="1" x14ac:dyDescent="0.25">
      <c r="A13" s="772" t="s">
        <v>431</v>
      </c>
      <c r="B13" s="773"/>
      <c r="C13" s="773"/>
      <c r="D13" s="773"/>
      <c r="E13" s="773"/>
      <c r="F13" s="773"/>
      <c r="G13" s="773"/>
      <c r="H13" s="774"/>
      <c r="I13" s="23"/>
      <c r="J13" s="29"/>
      <c r="K13" s="29"/>
      <c r="L13" s="29"/>
      <c r="M13" s="29"/>
      <c r="N13" s="29"/>
      <c r="O13" s="29"/>
    </row>
    <row r="14" spans="1:15" ht="12" customHeight="1" x14ac:dyDescent="0.2">
      <c r="A14" s="458" t="s">
        <v>113</v>
      </c>
      <c r="B14" s="455" t="s">
        <v>114</v>
      </c>
      <c r="C14" s="455" t="s">
        <v>492</v>
      </c>
      <c r="D14" s="273" t="s">
        <v>673</v>
      </c>
      <c r="E14" s="274" t="s">
        <v>671</v>
      </c>
      <c r="F14" s="274" t="s">
        <v>672</v>
      </c>
      <c r="G14" s="274" t="s">
        <v>15</v>
      </c>
      <c r="H14" s="275" t="s">
        <v>16</v>
      </c>
      <c r="I14" s="23"/>
      <c r="J14" s="186" t="s">
        <v>492</v>
      </c>
      <c r="K14" s="276" t="s">
        <v>673</v>
      </c>
      <c r="L14" s="277" t="s">
        <v>671</v>
      </c>
      <c r="M14" s="277" t="s">
        <v>672</v>
      </c>
      <c r="N14" s="277" t="s">
        <v>15</v>
      </c>
      <c r="O14" s="278" t="s">
        <v>16</v>
      </c>
    </row>
    <row r="15" spans="1:15" ht="12" customHeight="1" x14ac:dyDescent="0.2">
      <c r="A15" s="99" t="s">
        <v>19</v>
      </c>
      <c r="B15" s="101" t="s">
        <v>233</v>
      </c>
      <c r="C15" s="100" t="s">
        <v>139</v>
      </c>
      <c r="D15" s="177">
        <f>SUM(K15-(K15*Capa!$C$1))</f>
        <v>16.21</v>
      </c>
      <c r="E15" s="177">
        <f>SUM(L15-(L15*Capa!$C$1))</f>
        <v>16.21</v>
      </c>
      <c r="F15" s="177">
        <f>SUM(M15-(M15*Capa!$C$1))</f>
        <v>16.21</v>
      </c>
      <c r="G15" s="177">
        <f>SUM(N15-(N15*Capa!$C$1))</f>
        <v>20.83</v>
      </c>
      <c r="H15" s="33">
        <f>SUM(O15-(O15*Capa!$C$1))</f>
        <v>27.1</v>
      </c>
      <c r="I15" s="23"/>
      <c r="J15" s="112" t="s">
        <v>139</v>
      </c>
      <c r="K15" s="177">
        <v>16.21</v>
      </c>
      <c r="L15" s="177">
        <v>16.21</v>
      </c>
      <c r="M15" s="177">
        <v>16.21</v>
      </c>
      <c r="N15" s="177">
        <v>20.83</v>
      </c>
      <c r="O15" s="33">
        <v>27.1</v>
      </c>
    </row>
    <row r="16" spans="1:15" ht="12" customHeight="1" x14ac:dyDescent="0.2">
      <c r="A16" s="279" t="s">
        <v>20</v>
      </c>
      <c r="B16" s="286" t="s">
        <v>232</v>
      </c>
      <c r="C16" s="287" t="s">
        <v>139</v>
      </c>
      <c r="D16" s="227">
        <f>SUM(K16-(K16*Capa!$C$1))</f>
        <v>22.86</v>
      </c>
      <c r="E16" s="227">
        <f>SUM(L16-(L16*Capa!$C$1))</f>
        <v>22.86</v>
      </c>
      <c r="F16" s="227">
        <f>SUM(M16-(M16*Capa!$C$1))</f>
        <v>22.86</v>
      </c>
      <c r="G16" s="227">
        <f>SUM(N16-(N16*Capa!$C$1))</f>
        <v>33.03</v>
      </c>
      <c r="H16" s="285">
        <f>SUM(O16-(O16*Capa!$C$1))</f>
        <v>40.409999999999997</v>
      </c>
      <c r="I16" s="23"/>
      <c r="J16" s="280" t="s">
        <v>139</v>
      </c>
      <c r="K16" s="227">
        <v>22.86</v>
      </c>
      <c r="L16" s="227">
        <v>22.86</v>
      </c>
      <c r="M16" s="227">
        <v>22.86</v>
      </c>
      <c r="N16" s="227">
        <v>33.03</v>
      </c>
      <c r="O16" s="285">
        <v>40.409999999999997</v>
      </c>
    </row>
    <row r="17" spans="1:15" ht="12" customHeight="1" x14ac:dyDescent="0.2">
      <c r="A17" s="99" t="s">
        <v>21</v>
      </c>
      <c r="B17" s="101" t="s">
        <v>196</v>
      </c>
      <c r="C17" s="100" t="s">
        <v>139</v>
      </c>
      <c r="D17" s="177">
        <f>SUM(K17-(K17*Capa!$C$1))</f>
        <v>22.74</v>
      </c>
      <c r="E17" s="177">
        <f>SUM(L17-(L17*Capa!$C$1))</f>
        <v>22.74</v>
      </c>
      <c r="F17" s="177">
        <f>SUM(M17-(M17*Capa!$C$1))</f>
        <v>22.74</v>
      </c>
      <c r="G17" s="177">
        <f>SUM(N17-(N17*Capa!$C$1))</f>
        <v>31.33</v>
      </c>
      <c r="H17" s="33">
        <f>SUM(O17-(O17*Capa!$C$1))</f>
        <v>36.78</v>
      </c>
      <c r="I17" s="23"/>
      <c r="J17" s="112" t="s">
        <v>139</v>
      </c>
      <c r="K17" s="177">
        <v>22.74</v>
      </c>
      <c r="L17" s="177">
        <v>22.74</v>
      </c>
      <c r="M17" s="177">
        <v>22.74</v>
      </c>
      <c r="N17" s="177">
        <v>31.33</v>
      </c>
      <c r="O17" s="33">
        <v>36.78</v>
      </c>
    </row>
    <row r="18" spans="1:15" ht="12" customHeight="1" x14ac:dyDescent="0.2">
      <c r="A18" s="279" t="s">
        <v>22</v>
      </c>
      <c r="B18" s="286" t="s">
        <v>231</v>
      </c>
      <c r="C18" s="287" t="s">
        <v>139</v>
      </c>
      <c r="D18" s="227">
        <f>SUM(K18-(K18*Capa!$C$1))</f>
        <v>33.630000000000003</v>
      </c>
      <c r="E18" s="227">
        <f>SUM(L18-(L18*Capa!$C$1))</f>
        <v>33.630000000000003</v>
      </c>
      <c r="F18" s="227">
        <f>SUM(M18-(M18*Capa!$C$1))</f>
        <v>33.630000000000003</v>
      </c>
      <c r="G18" s="227">
        <f>SUM(N18-(N18*Capa!$C$1))</f>
        <v>41.38</v>
      </c>
      <c r="H18" s="285">
        <f>SUM(O18-(O18*Capa!$C$1))</f>
        <v>45.8</v>
      </c>
      <c r="I18" s="23"/>
      <c r="J18" s="280" t="s">
        <v>139</v>
      </c>
      <c r="K18" s="227">
        <v>33.630000000000003</v>
      </c>
      <c r="L18" s="227">
        <v>33.630000000000003</v>
      </c>
      <c r="M18" s="227">
        <v>33.630000000000003</v>
      </c>
      <c r="N18" s="227">
        <v>41.38</v>
      </c>
      <c r="O18" s="285">
        <v>45.8</v>
      </c>
    </row>
    <row r="19" spans="1:15" ht="12" customHeight="1" x14ac:dyDescent="0.2">
      <c r="A19" s="99" t="s">
        <v>23</v>
      </c>
      <c r="B19" s="101" t="s">
        <v>410</v>
      </c>
      <c r="C19" s="100" t="s">
        <v>139</v>
      </c>
      <c r="D19" s="177">
        <f>SUM(K19-(K19*Capa!$C$1))</f>
        <v>33.630000000000003</v>
      </c>
      <c r="E19" s="177">
        <f>SUM(L19-(L19*Capa!$C$1))</f>
        <v>33.630000000000003</v>
      </c>
      <c r="F19" s="177">
        <f>SUM(M19-(M19*Capa!$C$1))</f>
        <v>33.630000000000003</v>
      </c>
      <c r="G19" s="177">
        <f>SUM(N19-(N19*Capa!$C$1))</f>
        <v>41.38</v>
      </c>
      <c r="H19" s="33">
        <f>SUM(O19-(O19*Capa!$C$1))</f>
        <v>45.8</v>
      </c>
      <c r="I19" s="23"/>
      <c r="J19" s="112" t="s">
        <v>139</v>
      </c>
      <c r="K19" s="177">
        <v>33.630000000000003</v>
      </c>
      <c r="L19" s="177">
        <v>33.630000000000003</v>
      </c>
      <c r="M19" s="177">
        <v>33.630000000000003</v>
      </c>
      <c r="N19" s="177">
        <v>41.38</v>
      </c>
      <c r="O19" s="33">
        <v>45.8</v>
      </c>
    </row>
    <row r="20" spans="1:15" ht="12" customHeight="1" x14ac:dyDescent="0.2">
      <c r="A20" s="279" t="s">
        <v>24</v>
      </c>
      <c r="B20" s="286" t="s">
        <v>411</v>
      </c>
      <c r="C20" s="287" t="s">
        <v>139</v>
      </c>
      <c r="D20" s="227">
        <f>SUM(K20-(K20*Capa!$C$1))</f>
        <v>45.84</v>
      </c>
      <c r="E20" s="227">
        <f>SUM(L20-(L20*Capa!$C$1))</f>
        <v>45.84</v>
      </c>
      <c r="F20" s="227">
        <f>SUM(M20-(M20*Capa!$C$1))</f>
        <v>45.84</v>
      </c>
      <c r="G20" s="227">
        <f>SUM(N20-(N20*Capa!$C$1))</f>
        <v>48.59</v>
      </c>
      <c r="H20" s="285">
        <f>SUM(O20-(O20*Capa!$C$1))</f>
        <v>52.27</v>
      </c>
      <c r="I20" s="23"/>
      <c r="J20" s="280" t="s">
        <v>139</v>
      </c>
      <c r="K20" s="227">
        <v>45.84</v>
      </c>
      <c r="L20" s="227">
        <v>45.84</v>
      </c>
      <c r="M20" s="227">
        <v>45.84</v>
      </c>
      <c r="N20" s="227">
        <v>48.59</v>
      </c>
      <c r="O20" s="285">
        <v>52.27</v>
      </c>
    </row>
    <row r="21" spans="1:15" ht="12" customHeight="1" x14ac:dyDescent="0.2">
      <c r="A21" s="99" t="s">
        <v>25</v>
      </c>
      <c r="B21" s="101" t="s">
        <v>234</v>
      </c>
      <c r="C21" s="100" t="s">
        <v>139</v>
      </c>
      <c r="D21" s="177">
        <f>SUM(K21-(K21*Capa!$C$1))</f>
        <v>21.41</v>
      </c>
      <c r="E21" s="177">
        <f>SUM(L21-(L21*Capa!$C$1))</f>
        <v>21.41</v>
      </c>
      <c r="F21" s="177">
        <f>SUM(M21-(M21*Capa!$C$1))</f>
        <v>21.41</v>
      </c>
      <c r="G21" s="177">
        <f>SUM(N21-(N21*Capa!$C$1))</f>
        <v>24.03</v>
      </c>
      <c r="H21" s="33">
        <f>SUM(O21-(O21*Capa!$C$1))</f>
        <v>27.8</v>
      </c>
      <c r="I21" s="23"/>
      <c r="J21" s="112" t="s">
        <v>139</v>
      </c>
      <c r="K21" s="177">
        <v>21.41</v>
      </c>
      <c r="L21" s="177">
        <v>21.41</v>
      </c>
      <c r="M21" s="177">
        <v>21.41</v>
      </c>
      <c r="N21" s="177">
        <v>24.03</v>
      </c>
      <c r="O21" s="33">
        <v>27.8</v>
      </c>
    </row>
    <row r="22" spans="1:15" ht="12" customHeight="1" x14ac:dyDescent="0.2">
      <c r="A22" s="279" t="s">
        <v>26</v>
      </c>
      <c r="B22" s="286" t="s">
        <v>235</v>
      </c>
      <c r="C22" s="287" t="s">
        <v>139</v>
      </c>
      <c r="D22" s="227">
        <f>SUM(K22-(K22*Capa!$C$1))</f>
        <v>30.43</v>
      </c>
      <c r="E22" s="227">
        <f>SUM(L22-(L22*Capa!$C$1))</f>
        <v>30.43</v>
      </c>
      <c r="F22" s="227">
        <f>SUM(M22-(M22*Capa!$C$1))</f>
        <v>30.43</v>
      </c>
      <c r="G22" s="227">
        <f>SUM(N22-(N22*Capa!$C$1))</f>
        <v>37.380000000000003</v>
      </c>
      <c r="H22" s="285">
        <f>SUM(O22-(O22*Capa!$C$1))</f>
        <v>44.4</v>
      </c>
      <c r="I22" s="23"/>
      <c r="J22" s="280" t="s">
        <v>139</v>
      </c>
      <c r="K22" s="227">
        <v>30.43</v>
      </c>
      <c r="L22" s="227">
        <v>30.43</v>
      </c>
      <c r="M22" s="227">
        <v>30.43</v>
      </c>
      <c r="N22" s="227">
        <v>37.380000000000003</v>
      </c>
      <c r="O22" s="285">
        <v>44.4</v>
      </c>
    </row>
    <row r="23" spans="1:15" ht="12" customHeight="1" x14ac:dyDescent="0.2">
      <c r="A23" s="99" t="s">
        <v>27</v>
      </c>
      <c r="B23" s="101" t="s">
        <v>412</v>
      </c>
      <c r="C23" s="100" t="s">
        <v>139</v>
      </c>
      <c r="D23" s="177">
        <f>SUM(K23-(K23*Capa!$C$1))</f>
        <v>36.54</v>
      </c>
      <c r="E23" s="177">
        <f>SUM(L23-(L23*Capa!$C$1))</f>
        <v>36.54</v>
      </c>
      <c r="F23" s="177">
        <f>SUM(M23-(M23*Capa!$C$1))</f>
        <v>36.54</v>
      </c>
      <c r="G23" s="177">
        <f>SUM(N23-(N23*Capa!$C$1))</f>
        <v>44.55</v>
      </c>
      <c r="H23" s="33">
        <f>SUM(O23-(O23*Capa!$C$1))</f>
        <v>48.31</v>
      </c>
      <c r="I23" s="23"/>
      <c r="J23" s="112" t="s">
        <v>139</v>
      </c>
      <c r="K23" s="177">
        <v>36.54</v>
      </c>
      <c r="L23" s="177">
        <v>36.54</v>
      </c>
      <c r="M23" s="177">
        <v>36.54</v>
      </c>
      <c r="N23" s="177">
        <v>44.55</v>
      </c>
      <c r="O23" s="33">
        <v>48.31</v>
      </c>
    </row>
    <row r="24" spans="1:15" ht="12" customHeight="1" x14ac:dyDescent="0.2">
      <c r="A24" s="279" t="s">
        <v>28</v>
      </c>
      <c r="B24" s="286" t="s">
        <v>413</v>
      </c>
      <c r="C24" s="287" t="s">
        <v>139</v>
      </c>
      <c r="D24" s="227">
        <f>SUM(K24-(K24*Capa!$C$1))</f>
        <v>36.78</v>
      </c>
      <c r="E24" s="227">
        <f>SUM(L24-(L24*Capa!$C$1))</f>
        <v>36.78</v>
      </c>
      <c r="F24" s="227">
        <f>SUM(M24-(M24*Capa!$C$1))</f>
        <v>36.78</v>
      </c>
      <c r="G24" s="227">
        <f>SUM(N24-(N24*Capa!$C$1))</f>
        <v>51.02</v>
      </c>
      <c r="H24" s="285">
        <f>SUM(O24-(O24*Capa!$C$1))</f>
        <v>55.02</v>
      </c>
      <c r="I24" s="23"/>
      <c r="J24" s="280" t="s">
        <v>139</v>
      </c>
      <c r="K24" s="227">
        <v>36.78</v>
      </c>
      <c r="L24" s="227">
        <v>36.78</v>
      </c>
      <c r="M24" s="227">
        <v>36.78</v>
      </c>
      <c r="N24" s="227">
        <v>51.02</v>
      </c>
      <c r="O24" s="285">
        <v>55.02</v>
      </c>
    </row>
    <row r="25" spans="1:15" ht="12" customHeight="1" x14ac:dyDescent="0.2">
      <c r="A25" s="99" t="s">
        <v>29</v>
      </c>
      <c r="B25" s="101" t="s">
        <v>414</v>
      </c>
      <c r="C25" s="100" t="s">
        <v>139</v>
      </c>
      <c r="D25" s="177">
        <f>SUM(K25-(K25*Capa!$C$1))</f>
        <v>41.77</v>
      </c>
      <c r="E25" s="177">
        <f>SUM(L25-(L25*Capa!$C$1))</f>
        <v>41.77</v>
      </c>
      <c r="F25" s="177">
        <f>SUM(M25-(M25*Capa!$C$1))</f>
        <v>41.77</v>
      </c>
      <c r="G25" s="177">
        <f>SUM(N25-(N25*Capa!$C$1))</f>
        <v>52.87</v>
      </c>
      <c r="H25" s="33">
        <f>SUM(O25-(O25*Capa!$C$1))</f>
        <v>65.58</v>
      </c>
      <c r="I25" s="23"/>
      <c r="J25" s="112" t="s">
        <v>139</v>
      </c>
      <c r="K25" s="177">
        <v>41.77</v>
      </c>
      <c r="L25" s="177">
        <v>41.77</v>
      </c>
      <c r="M25" s="177">
        <v>41.77</v>
      </c>
      <c r="N25" s="177">
        <v>52.87</v>
      </c>
      <c r="O25" s="33">
        <v>65.58</v>
      </c>
    </row>
    <row r="26" spans="1:15" ht="12" customHeight="1" x14ac:dyDescent="0.2">
      <c r="A26" s="279" t="s">
        <v>33</v>
      </c>
      <c r="B26" s="286" t="s">
        <v>192</v>
      </c>
      <c r="C26" s="287" t="s">
        <v>139</v>
      </c>
      <c r="D26" s="227">
        <f>SUM(K26-(K26*Capa!$C$1))</f>
        <v>22.02</v>
      </c>
      <c r="E26" s="227">
        <f>SUM(L26-(L26*Capa!$C$1))</f>
        <v>22.02</v>
      </c>
      <c r="F26" s="227">
        <f>SUM(M26-(M26*Capa!$C$1))</f>
        <v>22.02</v>
      </c>
      <c r="G26" s="227">
        <f>SUM(N26-(N26*Capa!$C$1))</f>
        <v>26.62</v>
      </c>
      <c r="H26" s="285">
        <f>SUM(O26-(O26*Capa!$C$1))</f>
        <v>30.97</v>
      </c>
      <c r="I26" s="23"/>
      <c r="J26" s="280" t="s">
        <v>139</v>
      </c>
      <c r="K26" s="227">
        <v>22.02</v>
      </c>
      <c r="L26" s="227">
        <v>22.02</v>
      </c>
      <c r="M26" s="227">
        <v>22.02</v>
      </c>
      <c r="N26" s="227">
        <v>26.62</v>
      </c>
      <c r="O26" s="285">
        <v>30.97</v>
      </c>
    </row>
    <row r="27" spans="1:15" ht="12" customHeight="1" x14ac:dyDescent="0.2">
      <c r="A27" s="99" t="s">
        <v>34</v>
      </c>
      <c r="B27" s="101" t="s">
        <v>193</v>
      </c>
      <c r="C27" s="100" t="s">
        <v>139</v>
      </c>
      <c r="D27" s="177">
        <f>SUM(K27-(K27*Capa!$C$1))</f>
        <v>29.28</v>
      </c>
      <c r="E27" s="177">
        <f>SUM(L27-(L27*Capa!$C$1))</f>
        <v>29.28</v>
      </c>
      <c r="F27" s="177">
        <f>SUM(M27-(M27*Capa!$C$1))</f>
        <v>29.28</v>
      </c>
      <c r="G27" s="177">
        <f>SUM(N27-(N27*Capa!$C$1))</f>
        <v>36.85</v>
      </c>
      <c r="H27" s="33">
        <f>SUM(O27-(O27*Capa!$C$1))</f>
        <v>41.98</v>
      </c>
      <c r="I27" s="23"/>
      <c r="J27" s="112" t="s">
        <v>139</v>
      </c>
      <c r="K27" s="177">
        <v>29.28</v>
      </c>
      <c r="L27" s="177">
        <v>29.28</v>
      </c>
      <c r="M27" s="177">
        <v>29.28</v>
      </c>
      <c r="N27" s="177">
        <v>36.85</v>
      </c>
      <c r="O27" s="33">
        <v>41.98</v>
      </c>
    </row>
    <row r="28" spans="1:15" ht="12" customHeight="1" x14ac:dyDescent="0.2">
      <c r="A28" s="279" t="s">
        <v>35</v>
      </c>
      <c r="B28" s="286" t="s">
        <v>194</v>
      </c>
      <c r="C28" s="287" t="s">
        <v>139</v>
      </c>
      <c r="D28" s="227">
        <f>SUM(K28-(K28*Capa!$C$1))</f>
        <v>32.58</v>
      </c>
      <c r="E28" s="227">
        <f>SUM(L28-(L28*Capa!$C$1))</f>
        <v>32.58</v>
      </c>
      <c r="F28" s="227">
        <f>SUM(M28-(M28*Capa!$C$1))</f>
        <v>32.58</v>
      </c>
      <c r="G28" s="227">
        <f>SUM(N28-(N28*Capa!$C$1))</f>
        <v>37.26</v>
      </c>
      <c r="H28" s="285">
        <f>SUM(O28-(O28*Capa!$C$1))</f>
        <v>41.76</v>
      </c>
      <c r="I28" s="23"/>
      <c r="J28" s="280" t="s">
        <v>139</v>
      </c>
      <c r="K28" s="227">
        <v>32.58</v>
      </c>
      <c r="L28" s="227">
        <v>32.58</v>
      </c>
      <c r="M28" s="227">
        <v>32.58</v>
      </c>
      <c r="N28" s="227">
        <v>37.26</v>
      </c>
      <c r="O28" s="285">
        <v>41.76</v>
      </c>
    </row>
    <row r="29" spans="1:15" ht="12" customHeight="1" x14ac:dyDescent="0.2">
      <c r="A29" s="99" t="s">
        <v>36</v>
      </c>
      <c r="B29" s="101" t="s">
        <v>415</v>
      </c>
      <c r="C29" s="100" t="s">
        <v>139</v>
      </c>
      <c r="D29" s="177">
        <f>SUM(K29-(K29*Capa!$C$1))</f>
        <v>39.76</v>
      </c>
      <c r="E29" s="177">
        <f>SUM(L29-(L29*Capa!$C$1))</f>
        <v>39.76</v>
      </c>
      <c r="F29" s="177">
        <f>SUM(M29-(M29*Capa!$C$1))</f>
        <v>39.76</v>
      </c>
      <c r="G29" s="177">
        <f>SUM(N29-(N29*Capa!$C$1))</f>
        <v>46.56</v>
      </c>
      <c r="H29" s="33">
        <f>SUM(O29-(O29*Capa!$C$1))</f>
        <v>50.2</v>
      </c>
      <c r="I29" s="23"/>
      <c r="J29" s="112" t="s">
        <v>139</v>
      </c>
      <c r="K29" s="177">
        <v>39.76</v>
      </c>
      <c r="L29" s="177">
        <v>39.76</v>
      </c>
      <c r="M29" s="177">
        <v>39.76</v>
      </c>
      <c r="N29" s="177">
        <v>46.56</v>
      </c>
      <c r="O29" s="33">
        <v>50.2</v>
      </c>
    </row>
    <row r="30" spans="1:15" ht="12" customHeight="1" x14ac:dyDescent="0.2">
      <c r="A30" s="279" t="s">
        <v>227</v>
      </c>
      <c r="B30" s="286" t="s">
        <v>236</v>
      </c>
      <c r="C30" s="287" t="s">
        <v>139</v>
      </c>
      <c r="D30" s="227">
        <f>SUM(K30-(K30*Capa!$C$1))</f>
        <v>15.97</v>
      </c>
      <c r="E30" s="227">
        <f>SUM(L30-(L30*Capa!$C$1))</f>
        <v>15.97</v>
      </c>
      <c r="F30" s="227">
        <f>SUM(M30-(M30*Capa!$C$1))</f>
        <v>15.97</v>
      </c>
      <c r="G30" s="227">
        <f>SUM(N30-(N30*Capa!$C$1))</f>
        <v>18.27</v>
      </c>
      <c r="H30" s="285">
        <f>SUM(O30-(O30*Capa!$C$1))</f>
        <v>21.2</v>
      </c>
      <c r="J30" s="280" t="s">
        <v>139</v>
      </c>
      <c r="K30" s="227">
        <v>15.97</v>
      </c>
      <c r="L30" s="227">
        <v>15.97</v>
      </c>
      <c r="M30" s="227">
        <v>15.97</v>
      </c>
      <c r="N30" s="227">
        <v>18.27</v>
      </c>
      <c r="O30" s="285">
        <v>21.2</v>
      </c>
    </row>
    <row r="31" spans="1:15" ht="12" customHeight="1" thickBot="1" x14ac:dyDescent="0.25">
      <c r="A31" s="99" t="s">
        <v>228</v>
      </c>
      <c r="B31" s="101" t="s">
        <v>237</v>
      </c>
      <c r="C31" s="100" t="s">
        <v>139</v>
      </c>
      <c r="D31" s="177">
        <f>SUM(K31-(K31*Capa!$C$1))</f>
        <v>18.13</v>
      </c>
      <c r="E31" s="177">
        <f>SUM(L31-(L31*Capa!$C$1))</f>
        <v>18.13</v>
      </c>
      <c r="F31" s="177">
        <f>SUM(M31-(M31*Capa!$C$1))</f>
        <v>18.13</v>
      </c>
      <c r="G31" s="177">
        <f>SUM(N31-(N31*Capa!$C$1))</f>
        <v>21.36</v>
      </c>
      <c r="H31" s="33">
        <f>SUM(O31-(O31*Capa!$C$1))</f>
        <v>24.9</v>
      </c>
      <c r="J31" s="113" t="s">
        <v>139</v>
      </c>
      <c r="K31" s="360">
        <v>18.13</v>
      </c>
      <c r="L31" s="360">
        <v>18.13</v>
      </c>
      <c r="M31" s="360">
        <v>18.13</v>
      </c>
      <c r="N31" s="360">
        <v>21.36</v>
      </c>
      <c r="O31" s="104">
        <v>24.9</v>
      </c>
    </row>
    <row r="32" spans="1:15" s="106" customFormat="1" ht="25.5" customHeight="1" thickBot="1" x14ac:dyDescent="0.25">
      <c r="A32" s="772" t="s">
        <v>445</v>
      </c>
      <c r="B32" s="773"/>
      <c r="C32" s="773"/>
      <c r="D32" s="773"/>
      <c r="E32" s="773"/>
      <c r="F32" s="773"/>
      <c r="G32" s="773"/>
      <c r="H32" s="774"/>
      <c r="J32" s="109"/>
      <c r="K32" s="109"/>
      <c r="L32" s="109"/>
      <c r="M32" s="110"/>
      <c r="N32" s="109"/>
      <c r="O32" s="110"/>
    </row>
    <row r="33" spans="1:15" ht="12" customHeight="1" x14ac:dyDescent="0.2">
      <c r="A33" s="458" t="s">
        <v>113</v>
      </c>
      <c r="B33" s="455" t="s">
        <v>114</v>
      </c>
      <c r="C33" s="455" t="s">
        <v>492</v>
      </c>
      <c r="D33" s="273" t="s">
        <v>673</v>
      </c>
      <c r="E33" s="274" t="s">
        <v>671</v>
      </c>
      <c r="F33" s="274" t="s">
        <v>672</v>
      </c>
      <c r="G33" s="274" t="s">
        <v>15</v>
      </c>
      <c r="H33" s="275" t="s">
        <v>16</v>
      </c>
      <c r="I33" s="23"/>
      <c r="J33" s="186" t="s">
        <v>492</v>
      </c>
      <c r="K33" s="276" t="s">
        <v>673</v>
      </c>
      <c r="L33" s="277" t="s">
        <v>671</v>
      </c>
      <c r="M33" s="277" t="s">
        <v>672</v>
      </c>
      <c r="N33" s="277" t="s">
        <v>15</v>
      </c>
      <c r="O33" s="278" t="s">
        <v>16</v>
      </c>
    </row>
    <row r="34" spans="1:15" ht="12" customHeight="1" x14ac:dyDescent="0.2">
      <c r="A34" s="99" t="s">
        <v>85</v>
      </c>
      <c r="B34" s="101" t="s">
        <v>446</v>
      </c>
      <c r="C34" s="100" t="s">
        <v>139</v>
      </c>
      <c r="D34" s="177">
        <f>SUM(K34-(K34*Capa!$C$1))</f>
        <v>20.68</v>
      </c>
      <c r="E34" s="177">
        <f>SUM(L34-(L34*Capa!$C$1))</f>
        <v>20.68</v>
      </c>
      <c r="F34" s="177">
        <f>SUM(M34-(M34*Capa!$C$1))</f>
        <v>20.68</v>
      </c>
      <c r="G34" s="177">
        <f>SUM(N34-(N34*Capa!$C$1))</f>
        <v>23.78</v>
      </c>
      <c r="H34" s="33">
        <f>SUM(O34-(O34*Capa!$C$1))</f>
        <v>24.91</v>
      </c>
      <c r="J34" s="265" t="s">
        <v>139</v>
      </c>
      <c r="K34" s="116">
        <v>20.68</v>
      </c>
      <c r="L34" s="116">
        <v>20.68</v>
      </c>
      <c r="M34" s="116">
        <v>20.68</v>
      </c>
      <c r="N34" s="264">
        <v>23.78</v>
      </c>
      <c r="O34" s="136">
        <v>24.91</v>
      </c>
    </row>
    <row r="35" spans="1:15" ht="12" customHeight="1" thickBot="1" x14ac:dyDescent="0.25">
      <c r="A35" s="279" t="s">
        <v>86</v>
      </c>
      <c r="B35" s="286" t="s">
        <v>447</v>
      </c>
      <c r="C35" s="287" t="s">
        <v>139</v>
      </c>
      <c r="D35" s="227">
        <f>SUM(K35-(K35*Capa!$C$1))</f>
        <v>23.14</v>
      </c>
      <c r="E35" s="227">
        <f>SUM(L35-(L35*Capa!$C$1))</f>
        <v>23.14</v>
      </c>
      <c r="F35" s="227">
        <f>SUM(M35-(M35*Capa!$C$1))</f>
        <v>23.14</v>
      </c>
      <c r="G35" s="227">
        <f>SUM(N35-(N35*Capa!$C$1))</f>
        <v>26.92</v>
      </c>
      <c r="H35" s="285">
        <f>SUM(O35-(O35*Capa!$C$1))</f>
        <v>28.57</v>
      </c>
      <c r="J35" s="288" t="s">
        <v>139</v>
      </c>
      <c r="K35" s="289">
        <v>23.14</v>
      </c>
      <c r="L35" s="289">
        <v>23.14</v>
      </c>
      <c r="M35" s="289">
        <v>23.14</v>
      </c>
      <c r="N35" s="290">
        <v>26.92</v>
      </c>
      <c r="O35" s="291">
        <v>28.57</v>
      </c>
    </row>
    <row r="36" spans="1:15" ht="25.5" customHeight="1" thickBot="1" x14ac:dyDescent="0.25">
      <c r="A36" s="772" t="s">
        <v>430</v>
      </c>
      <c r="B36" s="773"/>
      <c r="C36" s="773"/>
      <c r="D36" s="773"/>
      <c r="E36" s="773"/>
      <c r="F36" s="773"/>
      <c r="G36" s="773"/>
      <c r="H36" s="774"/>
      <c r="I36" s="23"/>
      <c r="J36" s="29"/>
      <c r="K36" s="29"/>
      <c r="L36" s="29"/>
      <c r="M36" s="29"/>
      <c r="N36" s="29"/>
      <c r="O36" s="29"/>
    </row>
    <row r="37" spans="1:15" ht="12" customHeight="1" x14ac:dyDescent="0.2">
      <c r="A37" s="458" t="s">
        <v>113</v>
      </c>
      <c r="B37" s="455" t="s">
        <v>114</v>
      </c>
      <c r="C37" s="455" t="s">
        <v>492</v>
      </c>
      <c r="D37" s="273" t="s">
        <v>673</v>
      </c>
      <c r="E37" s="274" t="s">
        <v>671</v>
      </c>
      <c r="F37" s="274" t="s">
        <v>672</v>
      </c>
      <c r="G37" s="274" t="s">
        <v>15</v>
      </c>
      <c r="H37" s="275" t="s">
        <v>16</v>
      </c>
      <c r="I37" s="23"/>
      <c r="J37" s="186" t="s">
        <v>492</v>
      </c>
      <c r="K37" s="276" t="s">
        <v>673</v>
      </c>
      <c r="L37" s="277" t="s">
        <v>671</v>
      </c>
      <c r="M37" s="277" t="s">
        <v>672</v>
      </c>
      <c r="N37" s="277" t="s">
        <v>15</v>
      </c>
      <c r="O37" s="278" t="s">
        <v>16</v>
      </c>
    </row>
    <row r="38" spans="1:15" ht="12" customHeight="1" x14ac:dyDescent="0.2">
      <c r="A38" s="99" t="s">
        <v>78</v>
      </c>
      <c r="B38" s="101" t="s">
        <v>1044</v>
      </c>
      <c r="C38" s="177">
        <f>SUM(J38-(J38*Capa!$C$1))</f>
        <v>3.57</v>
      </c>
      <c r="D38" s="177">
        <f>SUM(K38-(K38*Capa!$C$1))</f>
        <v>3.57</v>
      </c>
      <c r="E38" s="177">
        <f>SUM(L38-(L38*Capa!$C$1))</f>
        <v>3.57</v>
      </c>
      <c r="F38" s="177">
        <f>SUM(M38-(M38*Capa!$C$1))</f>
        <v>3.57</v>
      </c>
      <c r="G38" s="177">
        <f>SUM(N38-(N38*Capa!$C$1))</f>
        <v>3.57</v>
      </c>
      <c r="H38" s="33">
        <f>SUM(O38-(O38*Capa!$C$1))</f>
        <v>3.57</v>
      </c>
      <c r="I38" s="23"/>
      <c r="J38" s="112">
        <v>3.57</v>
      </c>
      <c r="K38" s="177">
        <v>3.57</v>
      </c>
      <c r="L38" s="177">
        <v>3.57</v>
      </c>
      <c r="M38" s="177">
        <v>3.57</v>
      </c>
      <c r="N38" s="177">
        <v>3.57</v>
      </c>
      <c r="O38" s="33">
        <v>3.57</v>
      </c>
    </row>
    <row r="39" spans="1:15" ht="12" customHeight="1" x14ac:dyDescent="0.2">
      <c r="A39" s="279" t="s">
        <v>79</v>
      </c>
      <c r="B39" s="286" t="s">
        <v>1045</v>
      </c>
      <c r="C39" s="227">
        <f>SUM(J39-(J39*Capa!$C$1))</f>
        <v>4.55</v>
      </c>
      <c r="D39" s="227">
        <f>SUM(K39-(K39*Capa!$C$1))</f>
        <v>4.55</v>
      </c>
      <c r="E39" s="227">
        <f>SUM(L39-(L39*Capa!$C$1))</f>
        <v>4.55</v>
      </c>
      <c r="F39" s="227">
        <f>SUM(M39-(M39*Capa!$C$1))</f>
        <v>4.55</v>
      </c>
      <c r="G39" s="227">
        <f>SUM(N39-(N39*Capa!$C$1))</f>
        <v>4.55</v>
      </c>
      <c r="H39" s="285">
        <f>SUM(O39-(O39*Capa!$C$1))</f>
        <v>4.55</v>
      </c>
      <c r="I39" s="23"/>
      <c r="J39" s="280">
        <v>4.55</v>
      </c>
      <c r="K39" s="227">
        <v>4.55</v>
      </c>
      <c r="L39" s="227">
        <v>4.55</v>
      </c>
      <c r="M39" s="227">
        <v>4.55</v>
      </c>
      <c r="N39" s="227">
        <v>4.55</v>
      </c>
      <c r="O39" s="285">
        <v>4.55</v>
      </c>
    </row>
    <row r="40" spans="1:15" ht="12" customHeight="1" x14ac:dyDescent="0.2">
      <c r="A40" s="99" t="s">
        <v>80</v>
      </c>
      <c r="B40" s="101" t="s">
        <v>1046</v>
      </c>
      <c r="C40" s="177">
        <f>SUM(J40-(J40*Capa!$C$1))</f>
        <v>5.7</v>
      </c>
      <c r="D40" s="177">
        <f>SUM(K40-(K40*Capa!$C$1))</f>
        <v>5.7</v>
      </c>
      <c r="E40" s="177">
        <f>SUM(L40-(L40*Capa!$C$1))</f>
        <v>5.7</v>
      </c>
      <c r="F40" s="177">
        <f>SUM(M40-(M40*Capa!$C$1))</f>
        <v>5.7</v>
      </c>
      <c r="G40" s="177">
        <f>SUM(N40-(N40*Capa!$C$1))</f>
        <v>5.7</v>
      </c>
      <c r="H40" s="33">
        <f>SUM(O40-(O40*Capa!$C$1))</f>
        <v>5.7</v>
      </c>
      <c r="I40" s="23"/>
      <c r="J40" s="112">
        <v>5.7</v>
      </c>
      <c r="K40" s="177">
        <v>5.7</v>
      </c>
      <c r="L40" s="177">
        <v>5.7</v>
      </c>
      <c r="M40" s="177">
        <v>5.7</v>
      </c>
      <c r="N40" s="177">
        <v>5.7</v>
      </c>
      <c r="O40" s="33">
        <v>5.7</v>
      </c>
    </row>
    <row r="41" spans="1:15" ht="12" customHeight="1" x14ac:dyDescent="0.2">
      <c r="A41" s="279" t="s">
        <v>81</v>
      </c>
      <c r="B41" s="453" t="s">
        <v>1047</v>
      </c>
      <c r="C41" s="227">
        <f>SUM(J41-(J41*Capa!$C$1))</f>
        <v>6.23</v>
      </c>
      <c r="D41" s="227">
        <f>SUM(K41-(K41*Capa!$C$1))</f>
        <v>6.23</v>
      </c>
      <c r="E41" s="227">
        <f>SUM(L41-(L41*Capa!$C$1))</f>
        <v>6.23</v>
      </c>
      <c r="F41" s="227">
        <f>SUM(M41-(M41*Capa!$C$1))</f>
        <v>6.23</v>
      </c>
      <c r="G41" s="227">
        <f>SUM(N41-(N41*Capa!$C$1))</f>
        <v>6.23</v>
      </c>
      <c r="H41" s="285">
        <f>SUM(O41-(O41*Capa!$C$1))</f>
        <v>6.23</v>
      </c>
      <c r="I41" s="23"/>
      <c r="J41" s="280">
        <v>6.23</v>
      </c>
      <c r="K41" s="227">
        <v>6.23</v>
      </c>
      <c r="L41" s="227">
        <v>6.23</v>
      </c>
      <c r="M41" s="227">
        <v>6.23</v>
      </c>
      <c r="N41" s="227">
        <v>6.23</v>
      </c>
      <c r="O41" s="285">
        <v>6.23</v>
      </c>
    </row>
    <row r="42" spans="1:15" ht="12" customHeight="1" x14ac:dyDescent="0.2">
      <c r="A42" s="99" t="s">
        <v>129</v>
      </c>
      <c r="B42" s="454" t="s">
        <v>1048</v>
      </c>
      <c r="C42" s="177">
        <f>SUM(J42-(J42*Capa!$C$1))</f>
        <v>2.65</v>
      </c>
      <c r="D42" s="177">
        <f>SUM(K42-(K42*Capa!$C$1))</f>
        <v>2.65</v>
      </c>
      <c r="E42" s="177">
        <f>SUM(L42-(L42*Capa!$C$1))</f>
        <v>2.65</v>
      </c>
      <c r="F42" s="177">
        <f>SUM(M42-(M42*Capa!$C$1))</f>
        <v>2.65</v>
      </c>
      <c r="G42" s="177">
        <f>SUM(N42-(N42*Capa!$C$1))</f>
        <v>2.65</v>
      </c>
      <c r="H42" s="33">
        <f>SUM(O42-(O42*Capa!$C$1))</f>
        <v>2.65</v>
      </c>
      <c r="I42" s="23"/>
      <c r="J42" s="112">
        <v>2.65</v>
      </c>
      <c r="K42" s="177">
        <v>2.65</v>
      </c>
      <c r="L42" s="177">
        <v>2.65</v>
      </c>
      <c r="M42" s="177">
        <v>2.65</v>
      </c>
      <c r="N42" s="177">
        <v>2.65</v>
      </c>
      <c r="O42" s="33">
        <v>2.65</v>
      </c>
    </row>
    <row r="43" spans="1:15" ht="12" customHeight="1" thickBot="1" x14ac:dyDescent="0.25">
      <c r="A43" s="279" t="s">
        <v>130</v>
      </c>
      <c r="B43" s="453" t="s">
        <v>1049</v>
      </c>
      <c r="C43" s="227">
        <f>SUM(J43-(J43*Capa!$C$1))</f>
        <v>3.02</v>
      </c>
      <c r="D43" s="227">
        <f>SUM(K43-(K43*Capa!$C$1))</f>
        <v>3.02</v>
      </c>
      <c r="E43" s="227">
        <f>SUM(L43-(L43*Capa!$C$1))</f>
        <v>3.02</v>
      </c>
      <c r="F43" s="227">
        <f>SUM(M43-(M43*Capa!$C$1))</f>
        <v>3.02</v>
      </c>
      <c r="G43" s="227">
        <f>SUM(N43-(N43*Capa!$C$1))</f>
        <v>3.02</v>
      </c>
      <c r="H43" s="285">
        <f>SUM(O43-(O43*Capa!$C$1))</f>
        <v>3.02</v>
      </c>
      <c r="I43" s="23"/>
      <c r="J43" s="292">
        <v>3.02</v>
      </c>
      <c r="K43" s="282">
        <v>3.02</v>
      </c>
      <c r="L43" s="282">
        <v>3.02</v>
      </c>
      <c r="M43" s="282">
        <v>3.02</v>
      </c>
      <c r="N43" s="282">
        <v>3.02</v>
      </c>
      <c r="O43" s="283">
        <v>3.02</v>
      </c>
    </row>
    <row r="44" spans="1:15" ht="25.5" customHeight="1" thickBot="1" x14ac:dyDescent="0.25">
      <c r="A44" s="772" t="s">
        <v>150</v>
      </c>
      <c r="B44" s="773"/>
      <c r="C44" s="773"/>
      <c r="D44" s="773"/>
      <c r="E44" s="773"/>
      <c r="F44" s="773"/>
      <c r="G44" s="773"/>
      <c r="H44" s="774"/>
    </row>
    <row r="45" spans="1:15" ht="12" customHeight="1" x14ac:dyDescent="0.2">
      <c r="A45" s="458" t="s">
        <v>113</v>
      </c>
      <c r="B45" s="455" t="s">
        <v>114</v>
      </c>
      <c r="C45" s="455" t="s">
        <v>492</v>
      </c>
      <c r="D45" s="273" t="s">
        <v>673</v>
      </c>
      <c r="E45" s="274" t="s">
        <v>671</v>
      </c>
      <c r="F45" s="274" t="s">
        <v>672</v>
      </c>
      <c r="G45" s="274" t="s">
        <v>15</v>
      </c>
      <c r="H45" s="275" t="s">
        <v>16</v>
      </c>
      <c r="I45" s="23"/>
      <c r="J45" s="186" t="s">
        <v>492</v>
      </c>
      <c r="K45" s="276" t="s">
        <v>673</v>
      </c>
      <c r="L45" s="277" t="s">
        <v>671</v>
      </c>
      <c r="M45" s="277" t="s">
        <v>672</v>
      </c>
      <c r="N45" s="277" t="s">
        <v>15</v>
      </c>
      <c r="O45" s="278" t="s">
        <v>16</v>
      </c>
    </row>
    <row r="46" spans="1:15" ht="12" customHeight="1" x14ac:dyDescent="0.2">
      <c r="A46" s="99" t="s">
        <v>17</v>
      </c>
      <c r="B46" s="454" t="s">
        <v>417</v>
      </c>
      <c r="C46" s="102" t="s">
        <v>139</v>
      </c>
      <c r="D46" s="177">
        <f>SUM(K46-(K46*Capa!$C$1))</f>
        <v>0.96</v>
      </c>
      <c r="E46" s="177">
        <f>SUM(L46-(L46*Capa!$C$1))</f>
        <v>0.96</v>
      </c>
      <c r="F46" s="177">
        <f>SUM(M46-(M46*Capa!$C$1))</f>
        <v>0.96</v>
      </c>
      <c r="G46" s="177">
        <f>SUM(N46-(N46*Capa!$C$1))</f>
        <v>1.1000000000000001</v>
      </c>
      <c r="H46" s="33">
        <f>SUM(O46-(O46*Capa!$C$1))</f>
        <v>1.93</v>
      </c>
      <c r="J46" s="229" t="s">
        <v>139</v>
      </c>
      <c r="K46" s="177">
        <v>0.96</v>
      </c>
      <c r="L46" s="177">
        <v>0.96</v>
      </c>
      <c r="M46" s="177">
        <v>0.96</v>
      </c>
      <c r="N46" s="177">
        <v>1.1000000000000001</v>
      </c>
      <c r="O46" s="33">
        <v>1.93</v>
      </c>
    </row>
    <row r="47" spans="1:15" ht="12" customHeight="1" x14ac:dyDescent="0.2">
      <c r="A47" s="279" t="s">
        <v>18</v>
      </c>
      <c r="B47" s="453" t="s">
        <v>418</v>
      </c>
      <c r="C47" s="284" t="s">
        <v>139</v>
      </c>
      <c r="D47" s="227">
        <f>SUM(K47-(K47*Capa!$C$1))</f>
        <v>1.36</v>
      </c>
      <c r="E47" s="227">
        <f>SUM(L47-(L47*Capa!$C$1))</f>
        <v>1.36</v>
      </c>
      <c r="F47" s="227">
        <f>SUM(M47-(M47*Capa!$C$1))</f>
        <v>1.36</v>
      </c>
      <c r="G47" s="227">
        <f>SUM(N47-(N47*Capa!$C$1))</f>
        <v>1.66</v>
      </c>
      <c r="H47" s="285">
        <f>SUM(O47-(O47*Capa!$C$1))</f>
        <v>2.83</v>
      </c>
      <c r="J47" s="293" t="s">
        <v>139</v>
      </c>
      <c r="K47" s="227">
        <v>1.36</v>
      </c>
      <c r="L47" s="227">
        <v>1.36</v>
      </c>
      <c r="M47" s="227">
        <v>1.36</v>
      </c>
      <c r="N47" s="227">
        <v>1.66</v>
      </c>
      <c r="O47" s="285">
        <v>2.83</v>
      </c>
    </row>
    <row r="48" spans="1:15" ht="12" customHeight="1" x14ac:dyDescent="0.2">
      <c r="A48" s="99" t="s">
        <v>239</v>
      </c>
      <c r="B48" s="454" t="s">
        <v>443</v>
      </c>
      <c r="C48" s="177">
        <f>SUM(J48-(J48*Capa!$C$1))</f>
        <v>0.19</v>
      </c>
      <c r="D48" s="177">
        <f>SUM(K48-(K48*Capa!$C$1))</f>
        <v>0.19</v>
      </c>
      <c r="E48" s="177">
        <f>SUM(L48-(L48*Capa!$C$1))</f>
        <v>0.19</v>
      </c>
      <c r="F48" s="177">
        <f>SUM(M48-(M48*Capa!$C$1))</f>
        <v>0.19</v>
      </c>
      <c r="G48" s="177">
        <f>SUM(N48-(N48*Capa!$C$1))</f>
        <v>0.19</v>
      </c>
      <c r="H48" s="33">
        <f>SUM(O48-(O48*Capa!$C$1))</f>
        <v>0.28999999999999998</v>
      </c>
      <c r="J48" s="112">
        <v>0.19</v>
      </c>
      <c r="K48" s="177">
        <v>0.19</v>
      </c>
      <c r="L48" s="177">
        <v>0.19</v>
      </c>
      <c r="M48" s="177">
        <v>0.19</v>
      </c>
      <c r="N48" s="177">
        <v>0.19</v>
      </c>
      <c r="O48" s="33">
        <v>0.28999999999999998</v>
      </c>
    </row>
    <row r="49" spans="1:15" ht="12" customHeight="1" thickBot="1" x14ac:dyDescent="0.25">
      <c r="A49" s="279" t="s">
        <v>238</v>
      </c>
      <c r="B49" s="453" t="s">
        <v>444</v>
      </c>
      <c r="C49" s="227">
        <f>SUM(J49-(J49*Capa!$C$1))</f>
        <v>0.21</v>
      </c>
      <c r="D49" s="227">
        <f>SUM(K49-(K49*Capa!$C$1))</f>
        <v>0.21</v>
      </c>
      <c r="E49" s="227">
        <f>SUM(L49-(L49*Capa!$C$1))</f>
        <v>0.21</v>
      </c>
      <c r="F49" s="227">
        <f>SUM(M49-(M49*Capa!$C$1))</f>
        <v>0.21</v>
      </c>
      <c r="G49" s="227">
        <f>SUM(N49-(N49*Capa!$C$1))</f>
        <v>0.21</v>
      </c>
      <c r="H49" s="285">
        <f>SUM(O49-(O49*Capa!$C$1))</f>
        <v>0.39</v>
      </c>
      <c r="J49" s="292">
        <v>0.21</v>
      </c>
      <c r="K49" s="282">
        <v>0.21</v>
      </c>
      <c r="L49" s="282">
        <v>0.21</v>
      </c>
      <c r="M49" s="282">
        <v>0.21</v>
      </c>
      <c r="N49" s="282">
        <v>0.21</v>
      </c>
      <c r="O49" s="283">
        <v>0.39</v>
      </c>
    </row>
    <row r="50" spans="1:15" s="106" customFormat="1" ht="25.5" customHeight="1" thickBot="1" x14ac:dyDescent="0.25">
      <c r="A50" s="772" t="s">
        <v>428</v>
      </c>
      <c r="B50" s="773"/>
      <c r="C50" s="773"/>
      <c r="D50" s="773"/>
      <c r="E50" s="773"/>
      <c r="F50" s="773"/>
      <c r="G50" s="773"/>
      <c r="H50" s="774"/>
      <c r="J50" s="109"/>
      <c r="K50" s="109"/>
      <c r="L50" s="109"/>
      <c r="M50" s="110"/>
      <c r="N50" s="109"/>
      <c r="O50" s="110"/>
    </row>
    <row r="51" spans="1:15" ht="12" customHeight="1" x14ac:dyDescent="0.2">
      <c r="A51" s="458" t="s">
        <v>113</v>
      </c>
      <c r="B51" s="455" t="s">
        <v>114</v>
      </c>
      <c r="C51" s="455" t="s">
        <v>492</v>
      </c>
      <c r="D51" s="273" t="s">
        <v>673</v>
      </c>
      <c r="E51" s="274" t="s">
        <v>671</v>
      </c>
      <c r="F51" s="274" t="s">
        <v>672</v>
      </c>
      <c r="G51" s="274" t="s">
        <v>15</v>
      </c>
      <c r="H51" s="275" t="s">
        <v>16</v>
      </c>
      <c r="I51" s="23"/>
      <c r="J51" s="186" t="s">
        <v>492</v>
      </c>
      <c r="K51" s="276" t="s">
        <v>673</v>
      </c>
      <c r="L51" s="277" t="s">
        <v>671</v>
      </c>
      <c r="M51" s="277" t="s">
        <v>672</v>
      </c>
      <c r="N51" s="277" t="s">
        <v>15</v>
      </c>
      <c r="O51" s="278" t="s">
        <v>16</v>
      </c>
    </row>
    <row r="52" spans="1:15" ht="12" customHeight="1" x14ac:dyDescent="0.2">
      <c r="A52" s="99" t="s">
        <v>419</v>
      </c>
      <c r="B52" s="454" t="s">
        <v>420</v>
      </c>
      <c r="C52" s="177">
        <f>SUM(J52-(J52*Capa!$C$1))</f>
        <v>32.1</v>
      </c>
      <c r="D52" s="177">
        <f>SUM(K52-(K52*Capa!$C$1))</f>
        <v>32.1</v>
      </c>
      <c r="E52" s="177">
        <f>SUM(L52-(L52*Capa!$C$1))</f>
        <v>32.1</v>
      </c>
      <c r="F52" s="177">
        <f>SUM(M52-(M52*Capa!$C$1))</f>
        <v>32.1</v>
      </c>
      <c r="G52" s="177">
        <f>SUM(N52-(N52*Capa!$C$1))</f>
        <v>32.1</v>
      </c>
      <c r="H52" s="33">
        <f>SUM(O52-(O52*Capa!$C$1))</f>
        <v>32.1</v>
      </c>
      <c r="J52" s="115">
        <v>32.1</v>
      </c>
      <c r="K52" s="116">
        <v>32.1</v>
      </c>
      <c r="L52" s="116">
        <v>32.1</v>
      </c>
      <c r="M52" s="116">
        <v>32.1</v>
      </c>
      <c r="N52" s="116">
        <v>32.1</v>
      </c>
      <c r="O52" s="117">
        <v>32.1</v>
      </c>
    </row>
    <row r="53" spans="1:15" ht="12" customHeight="1" x14ac:dyDescent="0.2">
      <c r="A53" s="279" t="s">
        <v>421</v>
      </c>
      <c r="B53" s="453" t="s">
        <v>422</v>
      </c>
      <c r="C53" s="227">
        <f>SUM(J53-(J53*Capa!$C$1))</f>
        <v>26.9</v>
      </c>
      <c r="D53" s="227">
        <f>SUM(K53-(K53*Capa!$C$1))</f>
        <v>26.9</v>
      </c>
      <c r="E53" s="227">
        <f>SUM(L53-(L53*Capa!$C$1))</f>
        <v>26.9</v>
      </c>
      <c r="F53" s="227">
        <f>SUM(M53-(M53*Capa!$C$1))</f>
        <v>26.9</v>
      </c>
      <c r="G53" s="227">
        <f>SUM(N53-(N53*Capa!$C$1))</f>
        <v>26.9</v>
      </c>
      <c r="H53" s="285">
        <f>SUM(O53-(O53*Capa!$C$1))</f>
        <v>26.9</v>
      </c>
      <c r="J53" s="294">
        <v>26.9</v>
      </c>
      <c r="K53" s="295">
        <v>26.9</v>
      </c>
      <c r="L53" s="295">
        <v>26.9</v>
      </c>
      <c r="M53" s="295">
        <v>26.9</v>
      </c>
      <c r="N53" s="295">
        <v>26.9</v>
      </c>
      <c r="O53" s="296">
        <v>26.9</v>
      </c>
    </row>
    <row r="54" spans="1:15" ht="12" customHeight="1" x14ac:dyDescent="0.2">
      <c r="A54" s="99" t="s">
        <v>423</v>
      </c>
      <c r="B54" s="454" t="s">
        <v>424</v>
      </c>
      <c r="C54" s="177">
        <f>SUM(J54-(J54*Capa!$C$1))</f>
        <v>32.1</v>
      </c>
      <c r="D54" s="177">
        <f>SUM(K54-(K54*Capa!$C$1))</f>
        <v>32.1</v>
      </c>
      <c r="E54" s="177">
        <f>SUM(L54-(L54*Capa!$C$1))</f>
        <v>32.1</v>
      </c>
      <c r="F54" s="177">
        <f>SUM(M54-(M54*Capa!$C$1))</f>
        <v>32.1</v>
      </c>
      <c r="G54" s="177">
        <f>SUM(N54-(N54*Capa!$C$1))</f>
        <v>32.1</v>
      </c>
      <c r="H54" s="33">
        <f>SUM(O54-(O54*Capa!$C$1))</f>
        <v>32.1</v>
      </c>
      <c r="J54" s="115">
        <v>32.1</v>
      </c>
      <c r="K54" s="116">
        <v>32.1</v>
      </c>
      <c r="L54" s="116">
        <v>32.1</v>
      </c>
      <c r="M54" s="116">
        <v>32.1</v>
      </c>
      <c r="N54" s="116">
        <v>32.1</v>
      </c>
      <c r="O54" s="117">
        <v>32.1</v>
      </c>
    </row>
    <row r="55" spans="1:15" ht="12" customHeight="1" thickBot="1" x14ac:dyDescent="0.25">
      <c r="A55" s="279" t="s">
        <v>425</v>
      </c>
      <c r="B55" s="453" t="s">
        <v>426</v>
      </c>
      <c r="C55" s="227">
        <f>SUM(J55-(J55*Capa!$C$1))</f>
        <v>26.9</v>
      </c>
      <c r="D55" s="227">
        <f>SUM(K55-(K55*Capa!$C$1))</f>
        <v>26.9</v>
      </c>
      <c r="E55" s="227">
        <f>SUM(L55-(L55*Capa!$C$1))</f>
        <v>26.9</v>
      </c>
      <c r="F55" s="227">
        <f>SUM(M55-(M55*Capa!$C$1))</f>
        <v>26.9</v>
      </c>
      <c r="G55" s="227">
        <f>SUM(N55-(N55*Capa!$C$1))</f>
        <v>26.9</v>
      </c>
      <c r="H55" s="285">
        <f>SUM(O55-(O55*Capa!$C$1))</f>
        <v>26.9</v>
      </c>
      <c r="J55" s="297">
        <v>26.9</v>
      </c>
      <c r="K55" s="289">
        <v>26.9</v>
      </c>
      <c r="L55" s="289">
        <v>26.9</v>
      </c>
      <c r="M55" s="289">
        <v>26.9</v>
      </c>
      <c r="N55" s="289">
        <v>26.9</v>
      </c>
      <c r="O55" s="298">
        <v>26.9</v>
      </c>
    </row>
    <row r="56" spans="1:15" s="106" customFormat="1" ht="25.5" customHeight="1" thickBot="1" x14ac:dyDescent="0.25">
      <c r="A56" s="772" t="s">
        <v>429</v>
      </c>
      <c r="B56" s="773"/>
      <c r="C56" s="773"/>
      <c r="D56" s="773"/>
      <c r="E56" s="773"/>
      <c r="F56" s="773"/>
      <c r="G56" s="773"/>
      <c r="H56" s="774"/>
      <c r="J56" s="109"/>
      <c r="K56" s="109"/>
      <c r="L56" s="109"/>
      <c r="M56" s="110"/>
      <c r="N56" s="109"/>
      <c r="O56" s="110"/>
    </row>
    <row r="57" spans="1:15" ht="12" customHeight="1" x14ac:dyDescent="0.2">
      <c r="A57" s="458" t="s">
        <v>113</v>
      </c>
      <c r="B57" s="455" t="s">
        <v>114</v>
      </c>
      <c r="C57" s="455" t="s">
        <v>492</v>
      </c>
      <c r="D57" s="273" t="s">
        <v>673</v>
      </c>
      <c r="E57" s="274" t="s">
        <v>671</v>
      </c>
      <c r="F57" s="274" t="s">
        <v>672</v>
      </c>
      <c r="G57" s="274" t="s">
        <v>15</v>
      </c>
      <c r="H57" s="275" t="s">
        <v>16</v>
      </c>
      <c r="I57" s="23"/>
      <c r="J57" s="186" t="s">
        <v>492</v>
      </c>
      <c r="K57" s="276" t="s">
        <v>673</v>
      </c>
      <c r="L57" s="277" t="s">
        <v>671</v>
      </c>
      <c r="M57" s="277" t="s">
        <v>672</v>
      </c>
      <c r="N57" s="277" t="s">
        <v>15</v>
      </c>
      <c r="O57" s="278" t="s">
        <v>16</v>
      </c>
    </row>
    <row r="58" spans="1:15" ht="12" customHeight="1" x14ac:dyDescent="0.2">
      <c r="A58" s="99" t="s">
        <v>427</v>
      </c>
      <c r="B58" s="454" t="s">
        <v>242</v>
      </c>
      <c r="C58" s="177">
        <f>SUM(J58-(J58*Capa!$C$1))</f>
        <v>6.1</v>
      </c>
      <c r="D58" s="177">
        <f>SUM(K58-(K58*Capa!$C$1))</f>
        <v>6.1</v>
      </c>
      <c r="E58" s="177">
        <f>SUM(L58-(L58*Capa!$C$1))</f>
        <v>6.1</v>
      </c>
      <c r="F58" s="177">
        <f>SUM(M58-(M58*Capa!$C$1))</f>
        <v>6.1</v>
      </c>
      <c r="G58" s="177">
        <f>SUM(N58-(N58*Capa!$C$1))</f>
        <v>6.1</v>
      </c>
      <c r="H58" s="33">
        <f>SUM(O58-(O58*Capa!$C$1))</f>
        <v>6.1</v>
      </c>
      <c r="J58" s="112">
        <v>6.1</v>
      </c>
      <c r="K58" s="177">
        <v>6.1</v>
      </c>
      <c r="L58" s="177">
        <v>6.1</v>
      </c>
      <c r="M58" s="177">
        <v>6.1</v>
      </c>
      <c r="N58" s="177">
        <v>6.1</v>
      </c>
      <c r="O58" s="33">
        <v>6.1</v>
      </c>
    </row>
    <row r="59" spans="1:15" ht="12" customHeight="1" thickBot="1" x14ac:dyDescent="0.25">
      <c r="A59" s="279" t="s">
        <v>240</v>
      </c>
      <c r="B59" s="453" t="s">
        <v>241</v>
      </c>
      <c r="C59" s="227">
        <f>SUM(J59-(J59*Capa!$C$1))</f>
        <v>6.1</v>
      </c>
      <c r="D59" s="227">
        <f>SUM(K59-(K59*Capa!$C$1))</f>
        <v>6.1</v>
      </c>
      <c r="E59" s="227">
        <f>SUM(L59-(L59*Capa!$C$1))</f>
        <v>6.1</v>
      </c>
      <c r="F59" s="227">
        <f>SUM(M59-(M59*Capa!$C$1))</f>
        <v>6.1</v>
      </c>
      <c r="G59" s="227">
        <f>SUM(N59-(N59*Capa!$C$1))</f>
        <v>6.1</v>
      </c>
      <c r="H59" s="285">
        <f>SUM(O59-(O59*Capa!$C$1))</f>
        <v>6.1</v>
      </c>
      <c r="J59" s="292">
        <v>6.1</v>
      </c>
      <c r="K59" s="282">
        <v>6.1</v>
      </c>
      <c r="L59" s="282">
        <v>6.1</v>
      </c>
      <c r="M59" s="282">
        <v>6.1</v>
      </c>
      <c r="N59" s="282">
        <v>6.1</v>
      </c>
      <c r="O59" s="283">
        <v>6.1</v>
      </c>
    </row>
    <row r="60" spans="1:15" s="106" customFormat="1" ht="25.5" customHeight="1" thickBot="1" x14ac:dyDescent="0.25">
      <c r="A60" s="772" t="s">
        <v>195</v>
      </c>
      <c r="B60" s="773"/>
      <c r="C60" s="773"/>
      <c r="D60" s="773"/>
      <c r="E60" s="773"/>
      <c r="F60" s="773"/>
      <c r="G60" s="773"/>
      <c r="H60" s="774"/>
      <c r="J60" s="109"/>
      <c r="K60" s="109"/>
      <c r="L60" s="109"/>
      <c r="M60" s="110"/>
      <c r="N60" s="109"/>
      <c r="O60" s="110"/>
    </row>
    <row r="61" spans="1:15" ht="12" customHeight="1" x14ac:dyDescent="0.2">
      <c r="A61" s="99" t="s">
        <v>145</v>
      </c>
      <c r="B61" s="707" t="s">
        <v>197</v>
      </c>
      <c r="C61" s="707"/>
      <c r="D61" s="707"/>
      <c r="E61" s="707"/>
      <c r="F61" s="707"/>
      <c r="G61" s="714">
        <f>SUM(J61-(J61*Capa!$C$1))</f>
        <v>1.2</v>
      </c>
      <c r="H61" s="784"/>
      <c r="I61" s="452"/>
      <c r="J61" s="510">
        <v>1.2</v>
      </c>
      <c r="K61" s="111"/>
      <c r="L61" s="111"/>
      <c r="M61" s="111"/>
      <c r="N61" s="111"/>
      <c r="O61" s="49"/>
    </row>
    <row r="62" spans="1:15" ht="12" customHeight="1" x14ac:dyDescent="0.2">
      <c r="A62" s="279" t="s">
        <v>146</v>
      </c>
      <c r="B62" s="708" t="s">
        <v>198</v>
      </c>
      <c r="C62" s="708"/>
      <c r="D62" s="708"/>
      <c r="E62" s="708"/>
      <c r="F62" s="708"/>
      <c r="G62" s="715">
        <f>SUM(J62-(J62*Capa!$C$1))</f>
        <v>1.6</v>
      </c>
      <c r="H62" s="785"/>
      <c r="I62" s="452"/>
      <c r="J62" s="511">
        <v>1.6</v>
      </c>
      <c r="K62" s="111"/>
      <c r="L62" s="111"/>
      <c r="M62" s="111"/>
      <c r="N62" s="111"/>
      <c r="O62" s="49"/>
    </row>
    <row r="63" spans="1:15" ht="12" customHeight="1" thickBot="1" x14ac:dyDescent="0.25">
      <c r="A63" s="103" t="s">
        <v>147</v>
      </c>
      <c r="B63" s="783" t="s">
        <v>199</v>
      </c>
      <c r="C63" s="783"/>
      <c r="D63" s="783"/>
      <c r="E63" s="783"/>
      <c r="F63" s="783"/>
      <c r="G63" s="786">
        <f>SUM(J63-(J63*Capa!$C$1))</f>
        <v>1.8</v>
      </c>
      <c r="H63" s="787"/>
      <c r="I63" s="452"/>
      <c r="J63" s="512">
        <v>1.8</v>
      </c>
      <c r="K63" s="111"/>
      <c r="L63" s="111"/>
      <c r="M63" s="111"/>
      <c r="N63" s="111"/>
      <c r="O63" s="49"/>
    </row>
    <row r="64" spans="1:15" x14ac:dyDescent="0.2">
      <c r="I64" s="107"/>
      <c r="O64" s="49"/>
    </row>
    <row r="65" ht="33.75" customHeight="1" x14ac:dyDescent="0.2"/>
    <row r="66" ht="33.75" customHeight="1" x14ac:dyDescent="0.2"/>
  </sheetData>
  <sheetProtection sheet="1" objects="1" scenarios="1"/>
  <mergeCells count="26">
    <mergeCell ref="J12:K12"/>
    <mergeCell ref="A9:H9"/>
    <mergeCell ref="G10:H10"/>
    <mergeCell ref="G11:H11"/>
    <mergeCell ref="G12:H12"/>
    <mergeCell ref="A10:F10"/>
    <mergeCell ref="A11:F11"/>
    <mergeCell ref="A12:F12"/>
    <mergeCell ref="J10:K10"/>
    <mergeCell ref="J11:K11"/>
    <mergeCell ref="A56:H56"/>
    <mergeCell ref="A60:H60"/>
    <mergeCell ref="B61:F61"/>
    <mergeCell ref="B62:F62"/>
    <mergeCell ref="B63:F63"/>
    <mergeCell ref="G61:H61"/>
    <mergeCell ref="G62:H62"/>
    <mergeCell ref="G63:H63"/>
    <mergeCell ref="A36:H36"/>
    <mergeCell ref="A44:H44"/>
    <mergeCell ref="A50:H50"/>
    <mergeCell ref="A1:H1"/>
    <mergeCell ref="A2:H2"/>
    <mergeCell ref="A8:H8"/>
    <mergeCell ref="A13:H13"/>
    <mergeCell ref="A32:H32"/>
  </mergeCells>
  <printOptions horizontalCentered="1" verticalCentered="1"/>
  <pageMargins left="0.23622047244094491" right="0.23622047244094491" top="0.39370078740157483" bottom="0.19685039370078741" header="0.19685039370078741" footer="0"/>
  <pageSetup paperSize="9" scale="92" fitToWidth="0" fitToHeight="0" orientation="portrait" r:id="rId1"/>
  <headerFooter>
    <oddFooter>Página &amp;P</oddFooter>
  </headerFooter>
  <colBreaks count="1" manualBreakCount="1">
    <brk id="8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2"/>
  <sheetViews>
    <sheetView showGridLines="0" showWhiteSpace="0" view="pageLayout" zoomScaleNormal="100" workbookViewId="0">
      <selection sqref="A1:E1"/>
    </sheetView>
  </sheetViews>
  <sheetFormatPr defaultRowHeight="12.75" x14ac:dyDescent="0.2"/>
  <cols>
    <col min="1" max="1" width="10.7109375" style="15" customWidth="1"/>
    <col min="2" max="2" width="44.140625" style="15" customWidth="1"/>
    <col min="3" max="3" width="34.28515625" style="15" customWidth="1"/>
    <col min="4" max="4" width="9.42578125" style="15" customWidth="1"/>
    <col min="5" max="5" width="10.5703125" style="15" customWidth="1"/>
    <col min="6" max="6" width="9.140625" style="15"/>
    <col min="7" max="8" width="12.7109375" style="107" hidden="1" customWidth="1"/>
    <col min="9" max="16384" width="9.140625" style="15"/>
  </cols>
  <sheetData>
    <row r="1" spans="1:8" ht="30" customHeight="1" x14ac:dyDescent="0.2">
      <c r="A1" s="801" t="s">
        <v>479</v>
      </c>
      <c r="B1" s="802"/>
      <c r="C1" s="802"/>
      <c r="D1" s="802"/>
      <c r="E1" s="803"/>
      <c r="F1" s="14"/>
      <c r="G1" s="29"/>
      <c r="H1" s="29"/>
    </row>
    <row r="2" spans="1:8" ht="30" customHeight="1" x14ac:dyDescent="0.2">
      <c r="A2" s="804" t="s">
        <v>461</v>
      </c>
      <c r="B2" s="805"/>
      <c r="C2" s="805"/>
      <c r="D2" s="805"/>
      <c r="E2" s="806"/>
      <c r="F2" s="14"/>
      <c r="G2" s="29"/>
      <c r="H2" s="29"/>
    </row>
    <row r="3" spans="1:8" s="145" customFormat="1" ht="39.950000000000003" customHeight="1" thickBot="1" x14ac:dyDescent="0.4">
      <c r="A3" s="681" t="s">
        <v>1050</v>
      </c>
      <c r="B3" s="682"/>
      <c r="C3" s="682"/>
      <c r="D3" s="682"/>
      <c r="E3" s="683"/>
      <c r="F3" s="56"/>
      <c r="G3" s="144"/>
      <c r="H3" s="144"/>
    </row>
    <row r="4" spans="1:8" ht="24.95" customHeight="1" x14ac:dyDescent="0.2">
      <c r="A4" s="325" t="s">
        <v>113</v>
      </c>
      <c r="B4" s="185" t="s">
        <v>114</v>
      </c>
      <c r="C4" s="456" t="s">
        <v>74</v>
      </c>
      <c r="D4" s="326" t="s">
        <v>701</v>
      </c>
      <c r="E4" s="327" t="s">
        <v>702</v>
      </c>
      <c r="F4" s="14"/>
      <c r="G4" s="310" t="s">
        <v>699</v>
      </c>
      <c r="H4" s="311" t="s">
        <v>700</v>
      </c>
    </row>
    <row r="5" spans="1:8" ht="12" customHeight="1" x14ac:dyDescent="0.2">
      <c r="A5" s="75" t="s">
        <v>12</v>
      </c>
      <c r="B5" s="172" t="s">
        <v>462</v>
      </c>
      <c r="C5" s="46" t="s">
        <v>76</v>
      </c>
      <c r="D5" s="173">
        <f>SUM(G5-(G5*Capa!$C$1))</f>
        <v>59.88</v>
      </c>
      <c r="E5" s="174">
        <f>SUM(H5-(H5*Capa!$C$1))</f>
        <v>56.88</v>
      </c>
      <c r="F5" s="14"/>
      <c r="G5" s="112">
        <v>59.88</v>
      </c>
      <c r="H5" s="33">
        <v>56.88</v>
      </c>
    </row>
    <row r="6" spans="1:8" ht="12" customHeight="1" x14ac:dyDescent="0.2">
      <c r="A6" s="188" t="s">
        <v>12</v>
      </c>
      <c r="B6" s="189" t="s">
        <v>462</v>
      </c>
      <c r="C6" s="270" t="s">
        <v>624</v>
      </c>
      <c r="D6" s="190">
        <f>SUM(G6-(G6*Capa!$C$1))</f>
        <v>63.42</v>
      </c>
      <c r="E6" s="191">
        <f>SUM(H6-(H6*Capa!$C$1))</f>
        <v>60.24</v>
      </c>
      <c r="F6" s="14"/>
      <c r="G6" s="280">
        <v>63.42</v>
      </c>
      <c r="H6" s="285">
        <v>60.24</v>
      </c>
    </row>
    <row r="7" spans="1:8" ht="12" customHeight="1" x14ac:dyDescent="0.2">
      <c r="A7" s="75" t="s">
        <v>12</v>
      </c>
      <c r="B7" s="172" t="s">
        <v>462</v>
      </c>
      <c r="C7" s="46" t="s">
        <v>628</v>
      </c>
      <c r="D7" s="173">
        <f>SUM(G7-(G7*Capa!$C$1))</f>
        <v>58.08</v>
      </c>
      <c r="E7" s="174">
        <f>SUM(H7-(H7*Capa!$C$1))</f>
        <v>55.14</v>
      </c>
      <c r="F7" s="14"/>
      <c r="G7" s="112">
        <v>58.08</v>
      </c>
      <c r="H7" s="33">
        <v>55.14</v>
      </c>
    </row>
    <row r="8" spans="1:8" ht="12" customHeight="1" x14ac:dyDescent="0.2">
      <c r="A8" s="188" t="s">
        <v>463</v>
      </c>
      <c r="B8" s="189" t="s">
        <v>462</v>
      </c>
      <c r="C8" s="270" t="s">
        <v>75</v>
      </c>
      <c r="D8" s="190">
        <f>SUM(G8-(G8*Capa!$C$1))</f>
        <v>74.959999999999994</v>
      </c>
      <c r="E8" s="191">
        <f>SUM(H8-(H8*Capa!$C$1))</f>
        <v>71.16</v>
      </c>
      <c r="F8" s="14"/>
      <c r="G8" s="280">
        <v>74.959999999999994</v>
      </c>
      <c r="H8" s="285">
        <v>71.16</v>
      </c>
    </row>
    <row r="9" spans="1:8" ht="12" customHeight="1" x14ac:dyDescent="0.2">
      <c r="A9" s="75" t="s">
        <v>464</v>
      </c>
      <c r="B9" s="172" t="s">
        <v>462</v>
      </c>
      <c r="C9" s="46" t="s">
        <v>77</v>
      </c>
      <c r="D9" s="173">
        <f>SUM(G9-(G9*Capa!$C$1))</f>
        <v>127.82</v>
      </c>
      <c r="E9" s="174">
        <f>SUM(H9-(H9*Capa!$C$1))</f>
        <v>124.1</v>
      </c>
      <c r="F9" s="14"/>
      <c r="G9" s="112">
        <v>127.82</v>
      </c>
      <c r="H9" s="33">
        <v>124.1</v>
      </c>
    </row>
    <row r="10" spans="1:8" ht="12" customHeight="1" x14ac:dyDescent="0.2">
      <c r="A10" s="188" t="s">
        <v>13</v>
      </c>
      <c r="B10" s="189" t="s">
        <v>165</v>
      </c>
      <c r="C10" s="270" t="s">
        <v>76</v>
      </c>
      <c r="D10" s="190">
        <f>SUM(G10-(G10*Capa!$C$1))</f>
        <v>43.38</v>
      </c>
      <c r="E10" s="191">
        <f>SUM(H10-(H10*Capa!$C$1))</f>
        <v>41.34</v>
      </c>
      <c r="F10" s="14"/>
      <c r="G10" s="280">
        <v>43.38</v>
      </c>
      <c r="H10" s="285">
        <v>41.34</v>
      </c>
    </row>
    <row r="11" spans="1:8" ht="12" customHeight="1" x14ac:dyDescent="0.2">
      <c r="A11" s="75" t="s">
        <v>13</v>
      </c>
      <c r="B11" s="172" t="s">
        <v>165</v>
      </c>
      <c r="C11" s="46" t="s">
        <v>624</v>
      </c>
      <c r="D11" s="173">
        <f>SUM(G11-(G11*Capa!$C$1))</f>
        <v>47.1</v>
      </c>
      <c r="E11" s="174">
        <f>SUM(H11-(H11*Capa!$C$1))</f>
        <v>44.7</v>
      </c>
      <c r="F11" s="14"/>
      <c r="G11" s="112">
        <v>47.1</v>
      </c>
      <c r="H11" s="33">
        <v>44.7</v>
      </c>
    </row>
    <row r="12" spans="1:8" ht="12" customHeight="1" x14ac:dyDescent="0.2">
      <c r="A12" s="188" t="s">
        <v>13</v>
      </c>
      <c r="B12" s="189" t="s">
        <v>165</v>
      </c>
      <c r="C12" s="270" t="s">
        <v>628</v>
      </c>
      <c r="D12" s="190">
        <f>SUM(G12-(G12*Capa!$C$1))</f>
        <v>40.020000000000003</v>
      </c>
      <c r="E12" s="191">
        <f>SUM(H12-(H12*Capa!$C$1))</f>
        <v>37.74</v>
      </c>
      <c r="F12" s="14"/>
      <c r="G12" s="280">
        <v>40.020000000000003</v>
      </c>
      <c r="H12" s="285">
        <v>37.74</v>
      </c>
    </row>
    <row r="13" spans="1:8" ht="12" customHeight="1" x14ac:dyDescent="0.2">
      <c r="A13" s="75" t="s">
        <v>465</v>
      </c>
      <c r="B13" s="172" t="s">
        <v>477</v>
      </c>
      <c r="C13" s="46" t="s">
        <v>75</v>
      </c>
      <c r="D13" s="173">
        <f>SUM(G13-(G13*Capa!$C$1))</f>
        <v>70.38</v>
      </c>
      <c r="E13" s="174">
        <f>SUM(H13-(H13*Capa!$C$1))</f>
        <v>66.900000000000006</v>
      </c>
      <c r="F13" s="14"/>
      <c r="G13" s="112">
        <v>70.38</v>
      </c>
      <c r="H13" s="33">
        <v>66.900000000000006</v>
      </c>
    </row>
    <row r="14" spans="1:8" ht="12" customHeight="1" x14ac:dyDescent="0.2">
      <c r="A14" s="188" t="s">
        <v>466</v>
      </c>
      <c r="B14" s="189" t="s">
        <v>477</v>
      </c>
      <c r="C14" s="270" t="s">
        <v>77</v>
      </c>
      <c r="D14" s="190">
        <f>SUM(G14-(G14*Capa!$C$1))</f>
        <v>83.97</v>
      </c>
      <c r="E14" s="191">
        <f>SUM(H14-(H14*Capa!$C$1))</f>
        <v>81.53</v>
      </c>
      <c r="F14" s="14"/>
      <c r="G14" s="280">
        <v>83.97</v>
      </c>
      <c r="H14" s="285">
        <v>81.53</v>
      </c>
    </row>
    <row r="15" spans="1:8" ht="12" customHeight="1" x14ac:dyDescent="0.2">
      <c r="A15" s="75" t="s">
        <v>14</v>
      </c>
      <c r="B15" s="172" t="s">
        <v>166</v>
      </c>
      <c r="C15" s="46" t="s">
        <v>474</v>
      </c>
      <c r="D15" s="173">
        <f>SUM(G15-(G15*Capa!$C$1))</f>
        <v>61.64</v>
      </c>
      <c r="E15" s="174">
        <f>SUM(H15-(H15*Capa!$C$1))</f>
        <v>59.85</v>
      </c>
      <c r="F15" s="14"/>
      <c r="G15" s="112">
        <v>61.64</v>
      </c>
      <c r="H15" s="33">
        <v>59.85</v>
      </c>
    </row>
    <row r="16" spans="1:8" ht="12" customHeight="1" x14ac:dyDescent="0.2">
      <c r="A16" s="188" t="s">
        <v>467</v>
      </c>
      <c r="B16" s="189" t="s">
        <v>166</v>
      </c>
      <c r="C16" s="270" t="s">
        <v>75</v>
      </c>
      <c r="D16" s="190">
        <f>SUM(G16-(G16*Capa!$C$1))</f>
        <v>61.64</v>
      </c>
      <c r="E16" s="191">
        <f>SUM(H16-(H16*Capa!$C$1))</f>
        <v>59.85</v>
      </c>
      <c r="F16" s="14"/>
      <c r="G16" s="280">
        <v>61.64</v>
      </c>
      <c r="H16" s="285">
        <v>59.85</v>
      </c>
    </row>
    <row r="17" spans="1:8" ht="12" customHeight="1" x14ac:dyDescent="0.2">
      <c r="A17" s="75" t="s">
        <v>468</v>
      </c>
      <c r="B17" s="172" t="s">
        <v>166</v>
      </c>
      <c r="C17" s="46" t="s">
        <v>77</v>
      </c>
      <c r="D17" s="173">
        <f>SUM(G17-(G17*Capa!$C$1))</f>
        <v>61.64</v>
      </c>
      <c r="E17" s="174">
        <f>SUM(H17-(H17*Capa!$C$1))</f>
        <v>59.85</v>
      </c>
      <c r="F17" s="14"/>
      <c r="G17" s="112">
        <v>61.64</v>
      </c>
      <c r="H17" s="33">
        <v>59.85</v>
      </c>
    </row>
    <row r="18" spans="1:8" ht="12" customHeight="1" x14ac:dyDescent="0.2">
      <c r="A18" s="188" t="s">
        <v>149</v>
      </c>
      <c r="B18" s="269" t="s">
        <v>478</v>
      </c>
      <c r="C18" s="328" t="s">
        <v>589</v>
      </c>
      <c r="D18" s="190">
        <f>SUM(G18-(G18*Capa!$C$1))</f>
        <v>95.88</v>
      </c>
      <c r="E18" s="191">
        <f>SUM(H18-(H18*Capa!$C$1))</f>
        <v>91.08</v>
      </c>
      <c r="F18" s="14"/>
      <c r="G18" s="280">
        <v>95.88</v>
      </c>
      <c r="H18" s="285">
        <v>91.08</v>
      </c>
    </row>
    <row r="19" spans="1:8" ht="12" customHeight="1" x14ac:dyDescent="0.2">
      <c r="A19" s="75" t="s">
        <v>149</v>
      </c>
      <c r="B19" s="171" t="s">
        <v>478</v>
      </c>
      <c r="C19" s="143" t="s">
        <v>590</v>
      </c>
      <c r="D19" s="173">
        <f>SUM(G19-(G19*Capa!$C$1))</f>
        <v>107.82</v>
      </c>
      <c r="E19" s="174">
        <f>SUM(H19-(H19*Capa!$C$1))</f>
        <v>102.42</v>
      </c>
      <c r="F19" s="14"/>
      <c r="G19" s="112">
        <v>107.82</v>
      </c>
      <c r="H19" s="33">
        <v>102.42</v>
      </c>
    </row>
    <row r="20" spans="1:8" ht="12" customHeight="1" x14ac:dyDescent="0.2">
      <c r="A20" s="188" t="s">
        <v>149</v>
      </c>
      <c r="B20" s="269" t="s">
        <v>478</v>
      </c>
      <c r="C20" s="328" t="s">
        <v>624</v>
      </c>
      <c r="D20" s="190">
        <f>SUM(G20-(G20*Capa!$C$1))</f>
        <v>107.82</v>
      </c>
      <c r="E20" s="191">
        <f>SUM(H20-(H20*Capa!$C$1))</f>
        <v>102.42</v>
      </c>
      <c r="F20" s="14"/>
      <c r="G20" s="280">
        <v>107.82</v>
      </c>
      <c r="H20" s="285">
        <v>102.42</v>
      </c>
    </row>
    <row r="21" spans="1:8" ht="12" customHeight="1" x14ac:dyDescent="0.2">
      <c r="A21" s="75" t="s">
        <v>149</v>
      </c>
      <c r="B21" s="171" t="s">
        <v>478</v>
      </c>
      <c r="C21" s="143" t="s">
        <v>628</v>
      </c>
      <c r="D21" s="173">
        <f>SUM(G21-(G21*Capa!$C$1))</f>
        <v>95.88</v>
      </c>
      <c r="E21" s="174">
        <f>SUM(H21-(H21*Capa!$C$1))</f>
        <v>91.08</v>
      </c>
      <c r="F21" s="14"/>
      <c r="G21" s="112">
        <v>95.88</v>
      </c>
      <c r="H21" s="33">
        <v>91.08</v>
      </c>
    </row>
    <row r="22" spans="1:8" ht="12" customHeight="1" x14ac:dyDescent="0.2">
      <c r="A22" s="188" t="s">
        <v>149</v>
      </c>
      <c r="B22" s="269" t="s">
        <v>478</v>
      </c>
      <c r="C22" s="328" t="s">
        <v>774</v>
      </c>
      <c r="D22" s="190">
        <f>SUM(G22-(G22*Capa!$C$1))</f>
        <v>113.64</v>
      </c>
      <c r="E22" s="191">
        <f>SUM(H22-(H22*Capa!$C$1))</f>
        <v>107.94</v>
      </c>
      <c r="F22" s="14"/>
      <c r="G22" s="280">
        <v>113.64</v>
      </c>
      <c r="H22" s="285">
        <v>107.94</v>
      </c>
    </row>
    <row r="23" spans="1:8" ht="12" customHeight="1" x14ac:dyDescent="0.2">
      <c r="A23" s="75" t="s">
        <v>133</v>
      </c>
      <c r="B23" s="172" t="s">
        <v>184</v>
      </c>
      <c r="C23" s="46" t="s">
        <v>475</v>
      </c>
      <c r="D23" s="173">
        <f>SUM(G23-(G23*Capa!$C$1))</f>
        <v>193.68</v>
      </c>
      <c r="E23" s="174">
        <f>SUM(H23-(H23*Capa!$C$1))</f>
        <v>184.02</v>
      </c>
      <c r="F23" s="14"/>
      <c r="G23" s="112">
        <v>193.68</v>
      </c>
      <c r="H23" s="33">
        <v>184.02</v>
      </c>
    </row>
    <row r="24" spans="1:8" ht="12" customHeight="1" x14ac:dyDescent="0.2">
      <c r="A24" s="188" t="s">
        <v>290</v>
      </c>
      <c r="B24" s="189" t="s">
        <v>294</v>
      </c>
      <c r="C24" s="270" t="s">
        <v>475</v>
      </c>
      <c r="D24" s="190">
        <f>SUM(G24-(G24*Capa!$C$1))</f>
        <v>314.82</v>
      </c>
      <c r="E24" s="191">
        <f>SUM(H24-(H24*Capa!$C$1))</f>
        <v>299.10000000000002</v>
      </c>
      <c r="F24" s="14"/>
      <c r="G24" s="280">
        <v>314.82</v>
      </c>
      <c r="H24" s="285">
        <v>299.10000000000002</v>
      </c>
    </row>
    <row r="25" spans="1:8" ht="12" customHeight="1" x14ac:dyDescent="0.2">
      <c r="A25" s="75" t="s">
        <v>316</v>
      </c>
      <c r="B25" s="171" t="s">
        <v>541</v>
      </c>
      <c r="C25" s="46" t="s">
        <v>775</v>
      </c>
      <c r="D25" s="173">
        <f>SUM(G25-(G25*Capa!$C$1))</f>
        <v>81.48</v>
      </c>
      <c r="E25" s="174">
        <f>SUM(H25-(H25*Capa!$C$1))</f>
        <v>77.400000000000006</v>
      </c>
      <c r="F25" s="14"/>
      <c r="G25" s="112">
        <v>81.48</v>
      </c>
      <c r="H25" s="33">
        <v>77.400000000000006</v>
      </c>
    </row>
    <row r="26" spans="1:8" ht="24" customHeight="1" x14ac:dyDescent="0.2">
      <c r="A26" s="188" t="s">
        <v>229</v>
      </c>
      <c r="B26" s="269" t="s">
        <v>510</v>
      </c>
      <c r="C26" s="328" t="s">
        <v>704</v>
      </c>
      <c r="D26" s="190">
        <f>SUM(G26-(G26*Capa!$C$1))</f>
        <v>40.020000000000003</v>
      </c>
      <c r="E26" s="191">
        <f>SUM(H26-(H26*Capa!$C$1))</f>
        <v>37.74</v>
      </c>
      <c r="F26" s="14"/>
      <c r="G26" s="280">
        <v>40.020000000000003</v>
      </c>
      <c r="H26" s="285">
        <v>37.74</v>
      </c>
    </row>
    <row r="27" spans="1:8" ht="24" customHeight="1" x14ac:dyDescent="0.2">
      <c r="A27" s="75" t="s">
        <v>230</v>
      </c>
      <c r="B27" s="171" t="s">
        <v>511</v>
      </c>
      <c r="C27" s="143" t="s">
        <v>704</v>
      </c>
      <c r="D27" s="173">
        <f>SUM(G27-(G27*Capa!$C$1))</f>
        <v>58.08</v>
      </c>
      <c r="E27" s="174">
        <f>SUM(H27-(H27*Capa!$C$1))</f>
        <v>55.14</v>
      </c>
      <c r="F27" s="14"/>
      <c r="G27" s="112">
        <v>58.08</v>
      </c>
      <c r="H27" s="33">
        <v>55.14</v>
      </c>
    </row>
    <row r="28" spans="1:8" ht="24" customHeight="1" x14ac:dyDescent="0.2">
      <c r="A28" s="188" t="s">
        <v>409</v>
      </c>
      <c r="B28" s="269" t="s">
        <v>593</v>
      </c>
      <c r="C28" s="328" t="s">
        <v>476</v>
      </c>
      <c r="D28" s="190">
        <f>SUM(G28-(G28*Capa!$C$1))</f>
        <v>59.34</v>
      </c>
      <c r="E28" s="191">
        <f>SUM(H28-(H28*Capa!$C$1))</f>
        <v>56.4</v>
      </c>
      <c r="F28" s="14"/>
      <c r="G28" s="280">
        <v>59.34</v>
      </c>
      <c r="H28" s="285">
        <v>56.4</v>
      </c>
    </row>
    <row r="29" spans="1:8" ht="24" customHeight="1" x14ac:dyDescent="0.2">
      <c r="A29" s="75" t="s">
        <v>408</v>
      </c>
      <c r="B29" s="171" t="s">
        <v>594</v>
      </c>
      <c r="C29" s="143" t="s">
        <v>476</v>
      </c>
      <c r="D29" s="173">
        <f>SUM(G29-(G29*Capa!$C$1))</f>
        <v>84</v>
      </c>
      <c r="E29" s="174">
        <f>SUM(H29-(H29*Capa!$C$1))</f>
        <v>79.8</v>
      </c>
      <c r="G29" s="112">
        <v>84</v>
      </c>
      <c r="H29" s="33">
        <v>79.8</v>
      </c>
    </row>
    <row r="30" spans="1:8" ht="12" customHeight="1" x14ac:dyDescent="0.2">
      <c r="A30" s="188" t="s">
        <v>794</v>
      </c>
      <c r="B30" s="269" t="s">
        <v>795</v>
      </c>
      <c r="C30" s="328" t="s">
        <v>796</v>
      </c>
      <c r="D30" s="190">
        <f>SUM(G30-(G30*Capa!$C$1))</f>
        <v>73.86</v>
      </c>
      <c r="E30" s="191">
        <f>SUM(H30-(H30*Capa!$C$1))</f>
        <v>70.14</v>
      </c>
      <c r="F30" s="14"/>
      <c r="G30" s="280">
        <v>73.86</v>
      </c>
      <c r="H30" s="285">
        <v>70.14</v>
      </c>
    </row>
    <row r="31" spans="1:8" ht="12" customHeight="1" x14ac:dyDescent="0.2">
      <c r="A31" s="75" t="s">
        <v>794</v>
      </c>
      <c r="B31" s="172" t="s">
        <v>795</v>
      </c>
      <c r="C31" s="46" t="s">
        <v>797</v>
      </c>
      <c r="D31" s="173">
        <f>SUM(G31-(G31*Capa!$C$1))</f>
        <v>67.95</v>
      </c>
      <c r="E31" s="174">
        <f>SUM(H31-(H31*Capa!$C$1))</f>
        <v>64.52</v>
      </c>
      <c r="F31" s="14"/>
      <c r="G31" s="112">
        <v>67.95</v>
      </c>
      <c r="H31" s="33">
        <v>64.52</v>
      </c>
    </row>
    <row r="32" spans="1:8" ht="12" customHeight="1" x14ac:dyDescent="0.2">
      <c r="A32" s="188" t="s">
        <v>794</v>
      </c>
      <c r="B32" s="189" t="s">
        <v>795</v>
      </c>
      <c r="C32" s="270" t="s">
        <v>624</v>
      </c>
      <c r="D32" s="190">
        <f>SUM(G32-(G32*Capa!$C$1))</f>
        <v>73.86</v>
      </c>
      <c r="E32" s="191">
        <f>SUM(H32-(H32*Capa!$C$1))</f>
        <v>70.14</v>
      </c>
      <c r="F32" s="14"/>
      <c r="G32" s="280">
        <v>73.86</v>
      </c>
      <c r="H32" s="285">
        <v>70.14</v>
      </c>
    </row>
    <row r="33" spans="1:8" ht="22.35" customHeight="1" x14ac:dyDescent="0.2">
      <c r="A33" s="75" t="s">
        <v>794</v>
      </c>
      <c r="B33" s="171" t="s">
        <v>795</v>
      </c>
      <c r="C33" s="143" t="s">
        <v>801</v>
      </c>
      <c r="D33" s="173">
        <f>SUM(G33-(G33*Capa!$C$1))</f>
        <v>73.86</v>
      </c>
      <c r="E33" s="174">
        <f>SUM(H33-(H33*Capa!$C$1))</f>
        <v>70.14</v>
      </c>
      <c r="F33" s="14"/>
      <c r="G33" s="112">
        <v>73.86</v>
      </c>
      <c r="H33" s="33">
        <v>70.14</v>
      </c>
    </row>
    <row r="34" spans="1:8" s="145" customFormat="1" ht="39.950000000000003" customHeight="1" x14ac:dyDescent="0.35">
      <c r="A34" s="681" t="s">
        <v>1051</v>
      </c>
      <c r="B34" s="682"/>
      <c r="C34" s="682"/>
      <c r="D34" s="682"/>
      <c r="E34" s="683"/>
      <c r="F34" s="56"/>
      <c r="G34" s="807"/>
      <c r="H34" s="808"/>
    </row>
    <row r="35" spans="1:8" ht="24.95" customHeight="1" x14ac:dyDescent="0.2">
      <c r="A35" s="325" t="s">
        <v>113</v>
      </c>
      <c r="B35" s="185" t="s">
        <v>114</v>
      </c>
      <c r="C35" s="456" t="s">
        <v>74</v>
      </c>
      <c r="D35" s="326" t="s">
        <v>701</v>
      </c>
      <c r="E35" s="327" t="s">
        <v>702</v>
      </c>
      <c r="F35" s="14"/>
      <c r="G35" s="325" t="s">
        <v>699</v>
      </c>
      <c r="H35" s="329" t="s">
        <v>700</v>
      </c>
    </row>
    <row r="36" spans="1:8" ht="12" customHeight="1" x14ac:dyDescent="0.2">
      <c r="A36" s="75" t="s">
        <v>246</v>
      </c>
      <c r="B36" s="171" t="s">
        <v>469</v>
      </c>
      <c r="C36" s="46" t="s">
        <v>16</v>
      </c>
      <c r="D36" s="173">
        <f>SUM(G36-(G36*Capa!$C$1))</f>
        <v>29.1</v>
      </c>
      <c r="E36" s="174">
        <f>SUM(H36-(H36*Capa!$C$1))</f>
        <v>27.72</v>
      </c>
      <c r="F36" s="14"/>
      <c r="G36" s="112">
        <v>29.1</v>
      </c>
      <c r="H36" s="33">
        <v>27.72</v>
      </c>
    </row>
    <row r="37" spans="1:8" ht="12" customHeight="1" x14ac:dyDescent="0.2">
      <c r="A37" s="188" t="s">
        <v>247</v>
      </c>
      <c r="B37" s="189" t="s">
        <v>470</v>
      </c>
      <c r="C37" s="270" t="s">
        <v>16</v>
      </c>
      <c r="D37" s="190">
        <f>SUM(G37-(G37*Capa!$C$1))</f>
        <v>68.58</v>
      </c>
      <c r="E37" s="191">
        <f>SUM(H37-(H37*Capa!$C$1))</f>
        <v>65.16</v>
      </c>
      <c r="F37" s="14"/>
      <c r="G37" s="280">
        <v>68.58</v>
      </c>
      <c r="H37" s="285">
        <v>65.16</v>
      </c>
    </row>
    <row r="38" spans="1:8" ht="12" customHeight="1" x14ac:dyDescent="0.2">
      <c r="A38" s="75" t="s">
        <v>709</v>
      </c>
      <c r="B38" s="172" t="s">
        <v>713</v>
      </c>
      <c r="C38" s="46" t="s">
        <v>16</v>
      </c>
      <c r="D38" s="173">
        <f>SUM(G38-(G38*Capa!$C$1))</f>
        <v>86.16</v>
      </c>
      <c r="E38" s="174">
        <f>SUM(H38-(H38*Capa!$C$1))</f>
        <v>81.84</v>
      </c>
      <c r="F38" s="14"/>
      <c r="G38" s="112">
        <v>86.16</v>
      </c>
      <c r="H38" s="33">
        <v>81.84</v>
      </c>
    </row>
    <row r="39" spans="1:8" ht="12" customHeight="1" x14ac:dyDescent="0.2">
      <c r="A39" s="188" t="s">
        <v>248</v>
      </c>
      <c r="B39" s="189" t="s">
        <v>471</v>
      </c>
      <c r="C39" s="270" t="s">
        <v>16</v>
      </c>
      <c r="D39" s="190">
        <f>SUM(G39-(G39*Capa!$C$1))</f>
        <v>106.62</v>
      </c>
      <c r="E39" s="191">
        <f>SUM(H39-(H39*Capa!$C$1))</f>
        <v>101.28</v>
      </c>
      <c r="F39" s="14"/>
      <c r="G39" s="280">
        <v>106.62</v>
      </c>
      <c r="H39" s="285">
        <v>101.28</v>
      </c>
    </row>
    <row r="40" spans="1:8" ht="12" customHeight="1" x14ac:dyDescent="0.2">
      <c r="A40" s="75" t="s">
        <v>111</v>
      </c>
      <c r="B40" s="171" t="s">
        <v>531</v>
      </c>
      <c r="C40" s="46" t="s">
        <v>16</v>
      </c>
      <c r="D40" s="173">
        <f>SUM(G40-(G40*Capa!$C$1))</f>
        <v>69.180000000000007</v>
      </c>
      <c r="E40" s="174">
        <f>SUM(H40-(H40*Capa!$C$1))</f>
        <v>65.88</v>
      </c>
      <c r="F40" s="14"/>
      <c r="G40" s="112">
        <v>69.180000000000007</v>
      </c>
      <c r="H40" s="33">
        <v>65.88</v>
      </c>
    </row>
    <row r="41" spans="1:8" ht="12" customHeight="1" x14ac:dyDescent="0.2">
      <c r="A41" s="188" t="s">
        <v>111</v>
      </c>
      <c r="B41" s="269" t="s">
        <v>532</v>
      </c>
      <c r="C41" s="270" t="s">
        <v>16</v>
      </c>
      <c r="D41" s="190">
        <f>SUM(G41-(G41*Capa!$C$1))</f>
        <v>106.08</v>
      </c>
      <c r="E41" s="191">
        <f>SUM(H41-(H41*Capa!$C$1))</f>
        <v>100.74</v>
      </c>
      <c r="F41" s="14"/>
      <c r="G41" s="280">
        <v>106.08</v>
      </c>
      <c r="H41" s="285">
        <v>100.74</v>
      </c>
    </row>
    <row r="42" spans="1:8" ht="12" customHeight="1" x14ac:dyDescent="0.2">
      <c r="A42" s="75" t="s">
        <v>350</v>
      </c>
      <c r="B42" s="171" t="s">
        <v>714</v>
      </c>
      <c r="C42" s="46" t="s">
        <v>16</v>
      </c>
      <c r="D42" s="173">
        <f>SUM(G42-(G42*Capa!$C$1))</f>
        <v>32.159999999999997</v>
      </c>
      <c r="E42" s="174">
        <f>SUM(H42-(H42*Capa!$C$1))</f>
        <v>30.6</v>
      </c>
      <c r="F42" s="14"/>
      <c r="G42" s="112">
        <v>32.159999999999997</v>
      </c>
      <c r="H42" s="33">
        <v>30.6</v>
      </c>
    </row>
    <row r="43" spans="1:8" ht="12" customHeight="1" x14ac:dyDescent="0.2">
      <c r="A43" s="188" t="s">
        <v>360</v>
      </c>
      <c r="B43" s="269" t="s">
        <v>472</v>
      </c>
      <c r="C43" s="270" t="s">
        <v>649</v>
      </c>
      <c r="D43" s="190">
        <f>SUM(G43-(G43*Capa!$C$1))</f>
        <v>44.46</v>
      </c>
      <c r="E43" s="191">
        <f>SUM(H43-(H43*Capa!$C$1))</f>
        <v>42.3</v>
      </c>
      <c r="F43" s="14"/>
      <c r="G43" s="280">
        <v>44.46</v>
      </c>
      <c r="H43" s="285">
        <v>42.3</v>
      </c>
    </row>
    <row r="44" spans="1:8" ht="12" customHeight="1" x14ac:dyDescent="0.2">
      <c r="A44" s="75" t="s">
        <v>652</v>
      </c>
      <c r="B44" s="171" t="s">
        <v>703</v>
      </c>
      <c r="C44" s="46" t="s">
        <v>649</v>
      </c>
      <c r="D44" s="173">
        <f>SUM(G44-(G44*Capa!$C$1))</f>
        <v>47.88</v>
      </c>
      <c r="E44" s="174">
        <f>SUM(H44-(H44*Capa!$C$1))</f>
        <v>45.48</v>
      </c>
      <c r="F44" s="14"/>
      <c r="G44" s="112">
        <v>47.88</v>
      </c>
      <c r="H44" s="33">
        <v>45.48</v>
      </c>
    </row>
    <row r="45" spans="1:8" ht="12" customHeight="1" x14ac:dyDescent="0.2">
      <c r="A45" s="188" t="s">
        <v>272</v>
      </c>
      <c r="B45" s="269" t="s">
        <v>261</v>
      </c>
      <c r="C45" s="270" t="s">
        <v>16</v>
      </c>
      <c r="D45" s="190">
        <f>SUM(G45-(G45*Capa!$C$1))</f>
        <v>47.4</v>
      </c>
      <c r="E45" s="191">
        <f>SUM(H45-(H45*Capa!$C$1))</f>
        <v>45.06</v>
      </c>
      <c r="F45" s="14"/>
      <c r="G45" s="280">
        <v>47.4</v>
      </c>
      <c r="H45" s="285">
        <v>45.06</v>
      </c>
    </row>
    <row r="46" spans="1:8" ht="12" customHeight="1" x14ac:dyDescent="0.2">
      <c r="A46" s="75" t="s">
        <v>68</v>
      </c>
      <c r="B46" s="172" t="s">
        <v>206</v>
      </c>
      <c r="C46" s="141" t="s">
        <v>139</v>
      </c>
      <c r="D46" s="173">
        <f>SUM(G46-(G46*Capa!$C$1))</f>
        <v>41.88</v>
      </c>
      <c r="E46" s="174">
        <f>SUM(H46-(H46*Capa!$C$1))</f>
        <v>39.78</v>
      </c>
      <c r="F46" s="14"/>
      <c r="G46" s="112">
        <v>41.88</v>
      </c>
      <c r="H46" s="33">
        <v>39.78</v>
      </c>
    </row>
    <row r="47" spans="1:8" ht="12" customHeight="1" x14ac:dyDescent="0.2">
      <c r="A47" s="188" t="s">
        <v>69</v>
      </c>
      <c r="B47" s="189" t="s">
        <v>207</v>
      </c>
      <c r="C47" s="330" t="s">
        <v>139</v>
      </c>
      <c r="D47" s="190">
        <f>SUM(G47-(G47*Capa!$C$1))</f>
        <v>48.72</v>
      </c>
      <c r="E47" s="191">
        <f>SUM(H47-(H47*Capa!$C$1))</f>
        <v>46.26</v>
      </c>
      <c r="F47" s="14"/>
      <c r="G47" s="280">
        <v>48.72</v>
      </c>
      <c r="H47" s="285">
        <v>46.26</v>
      </c>
    </row>
    <row r="48" spans="1:8" ht="12" customHeight="1" thickBot="1" x14ac:dyDescent="0.25">
      <c r="A48" s="75" t="s">
        <v>70</v>
      </c>
      <c r="B48" s="171" t="s">
        <v>473</v>
      </c>
      <c r="C48" s="141" t="s">
        <v>139</v>
      </c>
      <c r="D48" s="173">
        <f>SUM(G48-(G48*Capa!$C$1))</f>
        <v>66.12</v>
      </c>
      <c r="E48" s="174">
        <f>SUM(H48-(H48*Capa!$C$1))</f>
        <v>62.82</v>
      </c>
      <c r="F48" s="14"/>
      <c r="G48" s="113">
        <v>66.12</v>
      </c>
      <c r="H48" s="104">
        <v>62.82</v>
      </c>
    </row>
    <row r="49" spans="1:8" ht="36.75" customHeight="1" thickBot="1" x14ac:dyDescent="0.25">
      <c r="A49" s="681" t="s">
        <v>776</v>
      </c>
      <c r="B49" s="682"/>
      <c r="C49" s="682"/>
      <c r="D49" s="682"/>
      <c r="E49" s="683"/>
    </row>
    <row r="50" spans="1:8" ht="24.95" customHeight="1" x14ac:dyDescent="0.2">
      <c r="A50" s="684" t="s">
        <v>114</v>
      </c>
      <c r="B50" s="685"/>
      <c r="C50" s="685"/>
      <c r="D50" s="686" t="s">
        <v>777</v>
      </c>
      <c r="E50" s="687"/>
      <c r="F50" s="14"/>
      <c r="G50" s="688" t="s">
        <v>777</v>
      </c>
      <c r="H50" s="689"/>
    </row>
    <row r="51" spans="1:8" x14ac:dyDescent="0.2">
      <c r="A51" s="690" t="s">
        <v>778</v>
      </c>
      <c r="B51" s="691"/>
      <c r="C51" s="691"/>
      <c r="D51" s="692">
        <f>'Cor Metal'!H9</f>
        <v>6.25</v>
      </c>
      <c r="E51" s="693"/>
      <c r="G51" s="694"/>
      <c r="H51" s="695"/>
    </row>
    <row r="52" spans="1:8" ht="13.5" thickBot="1" x14ac:dyDescent="0.25">
      <c r="A52" s="675" t="s">
        <v>779</v>
      </c>
      <c r="B52" s="676"/>
      <c r="C52" s="676"/>
      <c r="D52" s="677">
        <f>'Cor Metal'!H10</f>
        <v>9.5399999999999991</v>
      </c>
      <c r="E52" s="678"/>
      <c r="G52" s="679"/>
      <c r="H52" s="680"/>
    </row>
  </sheetData>
  <sheetProtection sheet="1" objects="1" scenarios="1"/>
  <mergeCells count="15">
    <mergeCell ref="G34:H34"/>
    <mergeCell ref="G50:H50"/>
    <mergeCell ref="G51:H51"/>
    <mergeCell ref="G52:H52"/>
    <mergeCell ref="A51:C51"/>
    <mergeCell ref="D51:E51"/>
    <mergeCell ref="A52:C52"/>
    <mergeCell ref="D52:E52"/>
    <mergeCell ref="A50:C50"/>
    <mergeCell ref="D50:E50"/>
    <mergeCell ref="A1:E1"/>
    <mergeCell ref="A2:E2"/>
    <mergeCell ref="A3:E3"/>
    <mergeCell ref="A34:E34"/>
    <mergeCell ref="A49:E49"/>
  </mergeCells>
  <printOptions horizontalCentered="1"/>
  <pageMargins left="0.23622047244094491" right="0.23622047244094491" top="0.39370078740157483" bottom="0.19685039370078741" header="0.19685039370078741" footer="0"/>
  <pageSetup paperSize="9" scale="93" fitToWidth="0" fitToHeight="0" orientation="portrait" r:id="rId1"/>
  <headerFooter>
    <oddFooter>Página &amp;P</oddFooter>
  </headerFooter>
  <colBreaks count="1" manualBreakCount="1">
    <brk id="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AB5A-82C4-4B51-A95B-5354039339E4}">
  <dimension ref="A1:F25"/>
  <sheetViews>
    <sheetView showWhiteSpace="0" view="pageLayout" zoomScaleNormal="100" workbookViewId="0">
      <selection sqref="A1:D1"/>
    </sheetView>
  </sheetViews>
  <sheetFormatPr defaultRowHeight="12.75" x14ac:dyDescent="0.2"/>
  <cols>
    <col min="1" max="1" width="15.7109375" customWidth="1"/>
    <col min="2" max="2" width="59.85546875" customWidth="1"/>
    <col min="3" max="4" width="11.7109375" customWidth="1"/>
    <col min="6" max="6" width="12.7109375" hidden="1" customWidth="1"/>
  </cols>
  <sheetData>
    <row r="1" spans="1:6" ht="35.1" customHeight="1" thickBot="1" x14ac:dyDescent="0.25">
      <c r="A1" s="812" t="s">
        <v>675</v>
      </c>
      <c r="B1" s="813"/>
      <c r="C1" s="813"/>
      <c r="D1" s="814"/>
    </row>
    <row r="2" spans="1:6" x14ac:dyDescent="0.2">
      <c r="A2" s="184" t="s">
        <v>113</v>
      </c>
      <c r="B2" s="185" t="s">
        <v>114</v>
      </c>
      <c r="C2" s="266" t="s">
        <v>116</v>
      </c>
      <c r="D2" s="267" t="s">
        <v>117</v>
      </c>
      <c r="F2" s="268" t="s">
        <v>117</v>
      </c>
    </row>
    <row r="3" spans="1:6" x14ac:dyDescent="0.2">
      <c r="A3" s="75" t="s">
        <v>676</v>
      </c>
      <c r="B3" s="171" t="s">
        <v>680</v>
      </c>
      <c r="C3" s="46" t="s">
        <v>697</v>
      </c>
      <c r="D3" s="174">
        <f>SUM(F3-(F3*Capa!$C$1))</f>
        <v>25.82</v>
      </c>
      <c r="F3" s="73">
        <v>25.82</v>
      </c>
    </row>
    <row r="4" spans="1:6" x14ac:dyDescent="0.2">
      <c r="A4" s="188" t="s">
        <v>677</v>
      </c>
      <c r="B4" s="269" t="s">
        <v>679</v>
      </c>
      <c r="C4" s="270" t="s">
        <v>697</v>
      </c>
      <c r="D4" s="191">
        <f>SUM(F4-(F4*Capa!$C$1))</f>
        <v>29.95</v>
      </c>
      <c r="F4" s="271">
        <v>29.95</v>
      </c>
    </row>
    <row r="5" spans="1:6" x14ac:dyDescent="0.2">
      <c r="A5" s="75">
        <v>39162802</v>
      </c>
      <c r="B5" s="171" t="s">
        <v>685</v>
      </c>
      <c r="C5" s="46" t="s">
        <v>697</v>
      </c>
      <c r="D5" s="174">
        <f>SUM(F5-(F5*Capa!$C$1))</f>
        <v>19.57</v>
      </c>
      <c r="F5" s="73">
        <v>19.57</v>
      </c>
    </row>
    <row r="6" spans="1:6" x14ac:dyDescent="0.2">
      <c r="A6" s="188">
        <v>35137101</v>
      </c>
      <c r="B6" s="269" t="s">
        <v>678</v>
      </c>
      <c r="C6" s="270" t="s">
        <v>697</v>
      </c>
      <c r="D6" s="191">
        <f>SUM(F6-(F6*Capa!$C$1))</f>
        <v>12.61</v>
      </c>
      <c r="F6" s="271">
        <v>12.61</v>
      </c>
    </row>
    <row r="7" spans="1:6" x14ac:dyDescent="0.2">
      <c r="A7" s="75">
        <v>35147301</v>
      </c>
      <c r="B7" s="171" t="s">
        <v>681</v>
      </c>
      <c r="C7" s="46" t="s">
        <v>697</v>
      </c>
      <c r="D7" s="174">
        <f>SUM(F7-(F7*Capa!$C$1))</f>
        <v>17.82</v>
      </c>
      <c r="F7" s="73">
        <v>17.82</v>
      </c>
    </row>
    <row r="8" spans="1:6" x14ac:dyDescent="0.2">
      <c r="A8" s="188">
        <v>35121301</v>
      </c>
      <c r="B8" s="269" t="s">
        <v>682</v>
      </c>
      <c r="C8" s="270" t="s">
        <v>697</v>
      </c>
      <c r="D8" s="191">
        <f>SUM(F8-(F8*Capa!$C$1))</f>
        <v>9.66</v>
      </c>
      <c r="F8" s="271">
        <v>9.66</v>
      </c>
    </row>
    <row r="9" spans="1:6" x14ac:dyDescent="0.2">
      <c r="A9" s="75">
        <v>43051002</v>
      </c>
      <c r="B9" s="171" t="s">
        <v>698</v>
      </c>
      <c r="C9" s="46" t="s">
        <v>697</v>
      </c>
      <c r="D9" s="174">
        <f>SUM(F9-(F9*Capa!$C$1))</f>
        <v>23.49</v>
      </c>
      <c r="F9" s="73">
        <v>23.49</v>
      </c>
    </row>
    <row r="10" spans="1:6" x14ac:dyDescent="0.2">
      <c r="A10" s="188">
        <v>80620101</v>
      </c>
      <c r="B10" s="269" t="s">
        <v>683</v>
      </c>
      <c r="C10" s="270" t="s">
        <v>697</v>
      </c>
      <c r="D10" s="191">
        <f>SUM(F10-(F10*Capa!$C$1))</f>
        <v>5.87</v>
      </c>
      <c r="F10" s="271">
        <v>5.87</v>
      </c>
    </row>
    <row r="11" spans="1:6" ht="13.5" thickBot="1" x14ac:dyDescent="0.25">
      <c r="A11" s="75">
        <v>2176601</v>
      </c>
      <c r="B11" s="171" t="s">
        <v>684</v>
      </c>
      <c r="C11" s="46" t="s">
        <v>697</v>
      </c>
      <c r="D11" s="174">
        <f>SUM(F11-(F11*Capa!$C$1))</f>
        <v>17.45</v>
      </c>
      <c r="F11" s="154">
        <v>17.45</v>
      </c>
    </row>
    <row r="12" spans="1:6" ht="35.1" customHeight="1" thickBot="1" x14ac:dyDescent="0.25">
      <c r="A12" s="809" t="s">
        <v>686</v>
      </c>
      <c r="B12" s="810"/>
      <c r="C12" s="810"/>
      <c r="D12" s="811"/>
    </row>
    <row r="13" spans="1:6" x14ac:dyDescent="0.2">
      <c r="A13" s="184" t="s">
        <v>113</v>
      </c>
      <c r="B13" s="185" t="s">
        <v>114</v>
      </c>
      <c r="C13" s="266" t="s">
        <v>116</v>
      </c>
      <c r="D13" s="267" t="s">
        <v>117</v>
      </c>
      <c r="F13" s="268" t="s">
        <v>117</v>
      </c>
    </row>
    <row r="14" spans="1:6" x14ac:dyDescent="0.2">
      <c r="A14" s="75">
        <v>44920100</v>
      </c>
      <c r="B14" s="171" t="s">
        <v>689</v>
      </c>
      <c r="C14" s="46" t="s">
        <v>697</v>
      </c>
      <c r="D14" s="174">
        <f>SUM(F14-(F14*Capa!$C$1))</f>
        <v>6.96</v>
      </c>
      <c r="F14" s="73">
        <v>6.96</v>
      </c>
    </row>
    <row r="15" spans="1:6" x14ac:dyDescent="0.2">
      <c r="A15" s="188">
        <v>44925100</v>
      </c>
      <c r="B15" s="269" t="s">
        <v>687</v>
      </c>
      <c r="C15" s="270" t="s">
        <v>697</v>
      </c>
      <c r="D15" s="191">
        <f>SUM(F15-(F15*Capa!$C$1))</f>
        <v>7.8</v>
      </c>
      <c r="F15" s="271">
        <v>7.8</v>
      </c>
    </row>
    <row r="16" spans="1:6" x14ac:dyDescent="0.2">
      <c r="A16" s="75">
        <v>44930100</v>
      </c>
      <c r="B16" s="171" t="s">
        <v>688</v>
      </c>
      <c r="C16" s="46" t="s">
        <v>697</v>
      </c>
      <c r="D16" s="174">
        <f>SUM(F16-(F16*Capa!$C$1))</f>
        <v>10.43</v>
      </c>
      <c r="F16" s="73">
        <v>10.43</v>
      </c>
    </row>
    <row r="17" spans="1:6" ht="35.1" customHeight="1" thickBot="1" x14ac:dyDescent="0.25">
      <c r="A17" s="809" t="s">
        <v>690</v>
      </c>
      <c r="B17" s="810"/>
      <c r="C17" s="810"/>
      <c r="D17" s="811"/>
    </row>
    <row r="18" spans="1:6" x14ac:dyDescent="0.2">
      <c r="A18" s="184" t="s">
        <v>113</v>
      </c>
      <c r="B18" s="185" t="s">
        <v>114</v>
      </c>
      <c r="C18" s="266" t="s">
        <v>116</v>
      </c>
      <c r="D18" s="267" t="s">
        <v>117</v>
      </c>
      <c r="F18" s="268" t="s">
        <v>117</v>
      </c>
    </row>
    <row r="19" spans="1:6" x14ac:dyDescent="0.2">
      <c r="A19" s="75">
        <v>47803000</v>
      </c>
      <c r="B19" s="171" t="s">
        <v>691</v>
      </c>
      <c r="C19" s="46" t="s">
        <v>38</v>
      </c>
      <c r="D19" s="174">
        <f>SUM(F19-(F19*Capa!$C$1))</f>
        <v>8.98</v>
      </c>
      <c r="F19" s="73">
        <v>8.98</v>
      </c>
    </row>
    <row r="20" spans="1:6" x14ac:dyDescent="0.2">
      <c r="A20" s="188">
        <v>48605300</v>
      </c>
      <c r="B20" s="269" t="s">
        <v>692</v>
      </c>
      <c r="C20" s="270" t="s">
        <v>38</v>
      </c>
      <c r="D20" s="191">
        <f>SUM(F20-(F20*Capa!$C$1))</f>
        <v>9.7799999999999994</v>
      </c>
      <c r="F20" s="271">
        <v>9.7799999999999994</v>
      </c>
    </row>
    <row r="21" spans="1:6" x14ac:dyDescent="0.2">
      <c r="A21" s="75">
        <v>48613300</v>
      </c>
      <c r="B21" s="171" t="s">
        <v>693</v>
      </c>
      <c r="C21" s="46" t="s">
        <v>38</v>
      </c>
      <c r="D21" s="174">
        <f>SUM(F21-(F21*Capa!$C$1))</f>
        <v>12.78</v>
      </c>
      <c r="F21" s="73">
        <v>12.78</v>
      </c>
    </row>
    <row r="22" spans="1:6" x14ac:dyDescent="0.2">
      <c r="A22" s="188">
        <v>48615300</v>
      </c>
      <c r="B22" s="269" t="s">
        <v>694</v>
      </c>
      <c r="C22" s="270" t="s">
        <v>38</v>
      </c>
      <c r="D22" s="191">
        <f>SUM(F22-(F22*Capa!$C$1))</f>
        <v>13.07</v>
      </c>
      <c r="F22" s="271">
        <v>13.07</v>
      </c>
    </row>
    <row r="23" spans="1:6" x14ac:dyDescent="0.2">
      <c r="A23" s="75">
        <v>48616300</v>
      </c>
      <c r="B23" s="171" t="s">
        <v>695</v>
      </c>
      <c r="C23" s="46" t="s">
        <v>38</v>
      </c>
      <c r="D23" s="174">
        <f>SUM(F23-(F23*Capa!$C$1))</f>
        <v>14.14</v>
      </c>
      <c r="F23" s="73">
        <v>14.14</v>
      </c>
    </row>
    <row r="24" spans="1:6" x14ac:dyDescent="0.2">
      <c r="A24" s="188">
        <v>57518500</v>
      </c>
      <c r="B24" s="269" t="s">
        <v>696</v>
      </c>
      <c r="C24" s="270" t="s">
        <v>38</v>
      </c>
      <c r="D24" s="191">
        <f>SUM(F24-(F24*Capa!$C$1))</f>
        <v>12.91</v>
      </c>
      <c r="F24" s="271">
        <v>12.91</v>
      </c>
    </row>
    <row r="25" spans="1:6" ht="13.5" thickBot="1" x14ac:dyDescent="0.25">
      <c r="A25" s="142"/>
      <c r="B25" s="358" t="s">
        <v>740</v>
      </c>
      <c r="C25" s="439" t="s">
        <v>38</v>
      </c>
      <c r="D25" s="440">
        <f>SUM(F25-(F25*Capa!$C$1))</f>
        <v>21.55</v>
      </c>
      <c r="F25" s="154">
        <v>21.55</v>
      </c>
    </row>
  </sheetData>
  <sheetProtection sheet="1" objects="1" scenarios="1"/>
  <mergeCells count="3">
    <mergeCell ref="A17:D17"/>
    <mergeCell ref="A12:D12"/>
    <mergeCell ref="A1:D1"/>
  </mergeCells>
  <printOptions horizontalCentered="1"/>
  <pageMargins left="0.23622047244094491" right="0.23622047244094491" top="0.39370078740157483" bottom="0.19685039370078741" header="0.19685039370078741" footer="0"/>
  <pageSetup paperSize="9" orientation="portrait" r:id="rId1"/>
  <headerFooter>
    <oddFooter>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8"/>
  <dimension ref="A1:O72"/>
  <sheetViews>
    <sheetView showGridLines="0" showWhiteSpace="0" view="pageLayout" zoomScaleNormal="100" zoomScaleSheetLayoutView="25" workbookViewId="0">
      <selection sqref="A1:E1"/>
    </sheetView>
  </sheetViews>
  <sheetFormatPr defaultColWidth="6.28515625" defaultRowHeight="12.75" x14ac:dyDescent="0.2"/>
  <cols>
    <col min="1" max="1" width="12.7109375" style="16" customWidth="1"/>
    <col min="2" max="2" width="57.5703125" style="16" customWidth="1"/>
    <col min="3" max="5" width="12.7109375" style="16" customWidth="1"/>
    <col min="6" max="7" width="6.28515625" style="16"/>
    <col min="8" max="8" width="12.7109375" style="16" hidden="1" customWidth="1"/>
    <col min="9" max="16384" width="6.28515625" style="16"/>
  </cols>
  <sheetData>
    <row r="1" spans="1:8" s="147" customFormat="1" ht="24.95" customHeight="1" thickBot="1" x14ac:dyDescent="0.25">
      <c r="A1" s="812" t="s">
        <v>204</v>
      </c>
      <c r="B1" s="813"/>
      <c r="C1" s="813"/>
      <c r="D1" s="813"/>
      <c r="E1" s="814"/>
    </row>
    <row r="2" spans="1:8" s="151" customFormat="1" ht="11.45" customHeight="1" x14ac:dyDescent="0.2">
      <c r="A2" s="184" t="s">
        <v>113</v>
      </c>
      <c r="B2" s="819" t="s">
        <v>114</v>
      </c>
      <c r="C2" s="819"/>
      <c r="D2" s="266" t="s">
        <v>116</v>
      </c>
      <c r="E2" s="267" t="s">
        <v>117</v>
      </c>
      <c r="H2" s="268" t="s">
        <v>117</v>
      </c>
    </row>
    <row r="3" spans="1:8" s="153" customFormat="1" ht="11.45" customHeight="1" x14ac:dyDescent="0.2">
      <c r="A3" s="75" t="s">
        <v>63</v>
      </c>
      <c r="B3" s="702" t="s">
        <v>1056</v>
      </c>
      <c r="C3" s="702"/>
      <c r="D3" s="46" t="s">
        <v>98</v>
      </c>
      <c r="E3" s="174">
        <f>SUM(H3-(H3*Capa!$C$1))</f>
        <v>62.92</v>
      </c>
      <c r="H3" s="73">
        <v>62.92</v>
      </c>
    </row>
    <row r="4" spans="1:8" s="153" customFormat="1" ht="11.45" customHeight="1" x14ac:dyDescent="0.2">
      <c r="A4" s="188" t="s">
        <v>64</v>
      </c>
      <c r="B4" s="701" t="s">
        <v>1055</v>
      </c>
      <c r="C4" s="701"/>
      <c r="D4" s="270" t="s">
        <v>98</v>
      </c>
      <c r="E4" s="191">
        <f>SUM(H4-(H4*Capa!$C$1))</f>
        <v>70.989999999999995</v>
      </c>
      <c r="H4" s="271">
        <v>70.989999999999995</v>
      </c>
    </row>
    <row r="5" spans="1:8" s="153" customFormat="1" ht="11.45" customHeight="1" x14ac:dyDescent="0.2">
      <c r="A5" s="75" t="s">
        <v>148</v>
      </c>
      <c r="B5" s="702" t="s">
        <v>1054</v>
      </c>
      <c r="C5" s="702"/>
      <c r="D5" s="46" t="s">
        <v>98</v>
      </c>
      <c r="E5" s="174">
        <f>SUM(H5-(H5*Capa!$C$1))</f>
        <v>89.98</v>
      </c>
      <c r="H5" s="73">
        <v>89.98</v>
      </c>
    </row>
    <row r="6" spans="1:8" s="153" customFormat="1" ht="11.45" customHeight="1" x14ac:dyDescent="0.2">
      <c r="A6" s="188" t="s">
        <v>437</v>
      </c>
      <c r="B6" s="701" t="s">
        <v>1053</v>
      </c>
      <c r="C6" s="701"/>
      <c r="D6" s="270" t="s">
        <v>98</v>
      </c>
      <c r="E6" s="191">
        <f>SUM(H6-(H6*Capa!$C$1))</f>
        <v>153.97</v>
      </c>
      <c r="H6" s="271">
        <v>153.97</v>
      </c>
    </row>
    <row r="7" spans="1:8" s="151" customFormat="1" ht="11.45" customHeight="1" x14ac:dyDescent="0.2">
      <c r="A7" s="75" t="s">
        <v>525</v>
      </c>
      <c r="B7" s="702" t="s">
        <v>485</v>
      </c>
      <c r="C7" s="702"/>
      <c r="D7" s="46" t="s">
        <v>98</v>
      </c>
      <c r="E7" s="174">
        <f>SUM(H7-(H7*Capa!$C$1))</f>
        <v>127.39</v>
      </c>
      <c r="H7" s="73">
        <v>127.39</v>
      </c>
    </row>
    <row r="8" spans="1:8" s="151" customFormat="1" ht="11.45" customHeight="1" x14ac:dyDescent="0.2">
      <c r="A8" s="188" t="s">
        <v>526</v>
      </c>
      <c r="B8" s="701" t="s">
        <v>486</v>
      </c>
      <c r="C8" s="701"/>
      <c r="D8" s="270" t="s">
        <v>98</v>
      </c>
      <c r="E8" s="191">
        <f>SUM(H8-(H8*Capa!$C$1))</f>
        <v>113.71</v>
      </c>
      <c r="H8" s="271">
        <v>113.71</v>
      </c>
    </row>
    <row r="9" spans="1:8" s="151" customFormat="1" ht="11.45" customHeight="1" x14ac:dyDescent="0.2">
      <c r="A9" s="75" t="s">
        <v>306</v>
      </c>
      <c r="B9" s="702" t="s">
        <v>438</v>
      </c>
      <c r="C9" s="702"/>
      <c r="D9" s="46" t="s">
        <v>98</v>
      </c>
      <c r="E9" s="174">
        <f>SUM(H9-(H9*Capa!$C$1))</f>
        <v>33.6</v>
      </c>
      <c r="H9" s="73">
        <v>33.6</v>
      </c>
    </row>
    <row r="10" spans="1:8" s="151" customFormat="1" ht="11.45" customHeight="1" x14ac:dyDescent="0.2">
      <c r="A10" s="188" t="s">
        <v>307</v>
      </c>
      <c r="B10" s="701" t="s">
        <v>1052</v>
      </c>
      <c r="C10" s="701"/>
      <c r="D10" s="270" t="s">
        <v>98</v>
      </c>
      <c r="E10" s="191">
        <f>SUM(H10-(H10*Capa!$C$1))</f>
        <v>39.979999999999997</v>
      </c>
      <c r="H10" s="271">
        <v>39.979999999999997</v>
      </c>
    </row>
    <row r="11" spans="1:8" s="151" customFormat="1" ht="11.45" customHeight="1" thickBot="1" x14ac:dyDescent="0.25">
      <c r="A11" s="75" t="s">
        <v>308</v>
      </c>
      <c r="B11" s="702" t="s">
        <v>439</v>
      </c>
      <c r="C11" s="702"/>
      <c r="D11" s="46" t="s">
        <v>98</v>
      </c>
      <c r="E11" s="174">
        <f>SUM(H11-(H11*Capa!$C$1))</f>
        <v>52.1</v>
      </c>
      <c r="H11" s="154">
        <v>52.1</v>
      </c>
    </row>
    <row r="12" spans="1:8" s="151" customFormat="1" ht="11.45" customHeight="1" x14ac:dyDescent="0.2">
      <c r="A12" s="188" t="s">
        <v>1059</v>
      </c>
      <c r="B12" s="701" t="s">
        <v>1058</v>
      </c>
      <c r="C12" s="701"/>
      <c r="D12" s="270" t="s">
        <v>98</v>
      </c>
      <c r="E12" s="191">
        <f>SUM(H12-(H12*Capa!$C$1))</f>
        <v>43.9</v>
      </c>
      <c r="H12" s="271">
        <v>43.9</v>
      </c>
    </row>
    <row r="13" spans="1:8" s="151" customFormat="1" ht="11.45" customHeight="1" thickBot="1" x14ac:dyDescent="0.25">
      <c r="A13" s="75" t="s">
        <v>645</v>
      </c>
      <c r="B13" s="702" t="s">
        <v>1057</v>
      </c>
      <c r="C13" s="702"/>
      <c r="D13" s="46" t="s">
        <v>98</v>
      </c>
      <c r="E13" s="174">
        <f>'Wave-Square-Retangular'!G46</f>
        <v>329.7</v>
      </c>
      <c r="H13" s="513" t="s">
        <v>139</v>
      </c>
    </row>
    <row r="14" spans="1:8" s="149" customFormat="1" ht="24.95" customHeight="1" thickBot="1" x14ac:dyDescent="0.25">
      <c r="A14" s="809" t="s">
        <v>205</v>
      </c>
      <c r="B14" s="810"/>
      <c r="C14" s="810"/>
      <c r="D14" s="810"/>
      <c r="E14" s="811"/>
    </row>
    <row r="15" spans="1:8" s="153" customFormat="1" ht="11.45" customHeight="1" x14ac:dyDescent="0.2">
      <c r="A15" s="75" t="s">
        <v>88</v>
      </c>
      <c r="B15" s="702" t="s">
        <v>200</v>
      </c>
      <c r="C15" s="702"/>
      <c r="D15" s="46" t="s">
        <v>98</v>
      </c>
      <c r="E15" s="174">
        <f>SUM(H15-(H15*Capa!$C$1))</f>
        <v>49</v>
      </c>
      <c r="H15" s="155">
        <v>49</v>
      </c>
    </row>
    <row r="16" spans="1:8" s="153" customFormat="1" ht="11.45" customHeight="1" x14ac:dyDescent="0.2">
      <c r="A16" s="188" t="s">
        <v>89</v>
      </c>
      <c r="B16" s="701" t="s">
        <v>201</v>
      </c>
      <c r="C16" s="701"/>
      <c r="D16" s="270" t="s">
        <v>98</v>
      </c>
      <c r="E16" s="191">
        <f>SUM(H16-(H16*Capa!$C$1))</f>
        <v>63.72</v>
      </c>
      <c r="H16" s="271">
        <v>63.72</v>
      </c>
    </row>
    <row r="17" spans="1:15" s="153" customFormat="1" ht="11.45" customHeight="1" x14ac:dyDescent="0.2">
      <c r="A17" s="75" t="s">
        <v>90</v>
      </c>
      <c r="B17" s="702" t="s">
        <v>202</v>
      </c>
      <c r="C17" s="702"/>
      <c r="D17" s="46" t="s">
        <v>98</v>
      </c>
      <c r="E17" s="174">
        <f>SUM(H17-(H17*Capa!$C$1))</f>
        <v>73.45</v>
      </c>
      <c r="H17" s="73">
        <v>73.45</v>
      </c>
    </row>
    <row r="18" spans="1:15" s="153" customFormat="1" ht="11.45" customHeight="1" x14ac:dyDescent="0.2">
      <c r="A18" s="188" t="s">
        <v>91</v>
      </c>
      <c r="B18" s="701" t="s">
        <v>203</v>
      </c>
      <c r="C18" s="701"/>
      <c r="D18" s="270" t="s">
        <v>98</v>
      </c>
      <c r="E18" s="191">
        <f>SUM(H18-(H18*Capa!$C$1))</f>
        <v>106.02</v>
      </c>
      <c r="H18" s="271">
        <v>106.02</v>
      </c>
    </row>
    <row r="19" spans="1:15" s="149" customFormat="1" ht="24.95" customHeight="1" thickBot="1" x14ac:dyDescent="0.25">
      <c r="A19" s="809" t="s">
        <v>277</v>
      </c>
      <c r="B19" s="810"/>
      <c r="C19" s="810"/>
      <c r="D19" s="810"/>
      <c r="E19" s="811"/>
    </row>
    <row r="20" spans="1:15" s="153" customFormat="1" ht="11.45" customHeight="1" x14ac:dyDescent="0.2">
      <c r="A20" s="75" t="s">
        <v>65</v>
      </c>
      <c r="B20" s="702" t="s">
        <v>278</v>
      </c>
      <c r="C20" s="702"/>
      <c r="D20" s="46" t="s">
        <v>38</v>
      </c>
      <c r="E20" s="174">
        <f>SUM(H20-(H20*Capa!$C$1))</f>
        <v>0.09</v>
      </c>
      <c r="H20" s="155">
        <v>0.09</v>
      </c>
    </row>
    <row r="21" spans="1:15" s="153" customFormat="1" ht="11.45" customHeight="1" x14ac:dyDescent="0.2">
      <c r="A21" s="188" t="s">
        <v>97</v>
      </c>
      <c r="B21" s="701" t="s">
        <v>716</v>
      </c>
      <c r="C21" s="701"/>
      <c r="D21" s="270" t="s">
        <v>717</v>
      </c>
      <c r="E21" s="191">
        <f>SUM(H21-(H21*Capa!$C$1))</f>
        <v>5.78</v>
      </c>
      <c r="H21" s="271">
        <v>5.78</v>
      </c>
    </row>
    <row r="22" spans="1:15" s="153" customFormat="1" ht="11.45" customHeight="1" thickBot="1" x14ac:dyDescent="0.25">
      <c r="A22" s="75" t="s">
        <v>715</v>
      </c>
      <c r="B22" s="702" t="s">
        <v>351</v>
      </c>
      <c r="C22" s="702"/>
      <c r="D22" s="46" t="s">
        <v>99</v>
      </c>
      <c r="E22" s="174">
        <f>SUM(H22-(H22*Capa!$C$1))</f>
        <v>50.3</v>
      </c>
      <c r="H22" s="154">
        <v>50.3</v>
      </c>
    </row>
    <row r="23" spans="1:15" s="149" customFormat="1" ht="24.95" customHeight="1" thickBot="1" x14ac:dyDescent="0.25">
      <c r="A23" s="809" t="s">
        <v>271</v>
      </c>
      <c r="B23" s="810"/>
      <c r="C23" s="810"/>
      <c r="D23" s="810"/>
      <c r="E23" s="811"/>
    </row>
    <row r="24" spans="1:15" s="153" customFormat="1" ht="11.45" customHeight="1" x14ac:dyDescent="0.2">
      <c r="A24" s="75" t="s">
        <v>244</v>
      </c>
      <c r="B24" s="702" t="s">
        <v>251</v>
      </c>
      <c r="C24" s="702"/>
      <c r="D24" s="46" t="s">
        <v>38</v>
      </c>
      <c r="E24" s="174">
        <f>SUM(H24-(H24*Capa!$C$1))</f>
        <v>1.88</v>
      </c>
      <c r="H24" s="155">
        <v>1.88</v>
      </c>
    </row>
    <row r="25" spans="1:15" s="153" customFormat="1" ht="11.45" customHeight="1" x14ac:dyDescent="0.2">
      <c r="A25" s="188" t="s">
        <v>249</v>
      </c>
      <c r="B25" s="701" t="s">
        <v>252</v>
      </c>
      <c r="C25" s="701"/>
      <c r="D25" s="270" t="s">
        <v>38</v>
      </c>
      <c r="E25" s="191">
        <f>SUM(H25-(H25*Capa!$C$1))</f>
        <v>1.45</v>
      </c>
      <c r="H25" s="271">
        <v>1.45</v>
      </c>
    </row>
    <row r="26" spans="1:15" s="153" customFormat="1" ht="11.45" customHeight="1" x14ac:dyDescent="0.2">
      <c r="A26" s="75" t="s">
        <v>250</v>
      </c>
      <c r="B26" s="702" t="s">
        <v>592</v>
      </c>
      <c r="C26" s="702"/>
      <c r="D26" s="46" t="s">
        <v>38</v>
      </c>
      <c r="E26" s="174">
        <f>SUM(H26-(H26*Capa!$C$1))</f>
        <v>1.77</v>
      </c>
      <c r="H26" s="73">
        <v>1.77</v>
      </c>
    </row>
    <row r="27" spans="1:15" s="153" customFormat="1" ht="11.45" customHeight="1" x14ac:dyDescent="0.2">
      <c r="A27" s="188" t="s">
        <v>268</v>
      </c>
      <c r="B27" s="701" t="s">
        <v>266</v>
      </c>
      <c r="C27" s="701"/>
      <c r="D27" s="270" t="s">
        <v>38</v>
      </c>
      <c r="E27" s="191">
        <f>SUM(H27-(H27*Capa!$C$1))</f>
        <v>2.56</v>
      </c>
      <c r="H27" s="271">
        <v>2.56</v>
      </c>
    </row>
    <row r="28" spans="1:15" s="153" customFormat="1" ht="11.45" customHeight="1" x14ac:dyDescent="0.2">
      <c r="A28" s="75" t="s">
        <v>269</v>
      </c>
      <c r="B28" s="702" t="s">
        <v>267</v>
      </c>
      <c r="C28" s="702"/>
      <c r="D28" s="46" t="s">
        <v>38</v>
      </c>
      <c r="E28" s="174">
        <f>SUM(H28-(H28*Capa!$C$1))</f>
        <v>1.99</v>
      </c>
      <c r="H28" s="73">
        <v>1.99</v>
      </c>
    </row>
    <row r="29" spans="1:15" s="153" customFormat="1" ht="11.45" customHeight="1" x14ac:dyDescent="0.2">
      <c r="A29" s="188" t="s">
        <v>270</v>
      </c>
      <c r="B29" s="701" t="s">
        <v>591</v>
      </c>
      <c r="C29" s="701"/>
      <c r="D29" s="270" t="s">
        <v>38</v>
      </c>
      <c r="E29" s="191">
        <f>SUM(H29-(H29*Capa!$C$1))</f>
        <v>2.4500000000000002</v>
      </c>
      <c r="H29" s="271">
        <v>2.4500000000000002</v>
      </c>
    </row>
    <row r="30" spans="1:15" s="153" customFormat="1" ht="11.45" customHeight="1" x14ac:dyDescent="0.2">
      <c r="A30" s="75" t="s">
        <v>245</v>
      </c>
      <c r="B30" s="702" t="s">
        <v>253</v>
      </c>
      <c r="C30" s="702"/>
      <c r="D30" s="46" t="s">
        <v>38</v>
      </c>
      <c r="E30" s="174">
        <f>SUM(H30-(H30*Capa!$C$1))</f>
        <v>1.49</v>
      </c>
      <c r="H30" s="73">
        <v>1.49</v>
      </c>
    </row>
    <row r="31" spans="1:15" s="147" customFormat="1" ht="24.95" customHeight="1" thickBot="1" x14ac:dyDescent="0.25">
      <c r="A31" s="809" t="s">
        <v>1087</v>
      </c>
      <c r="B31" s="810"/>
      <c r="C31" s="810"/>
      <c r="D31" s="810"/>
      <c r="E31" s="811"/>
      <c r="F31" s="146"/>
      <c r="G31" s="148"/>
      <c r="H31" s="148"/>
      <c r="I31" s="148"/>
      <c r="J31" s="148"/>
      <c r="K31" s="148"/>
      <c r="L31" s="148"/>
      <c r="M31" s="148"/>
      <c r="N31" s="148"/>
      <c r="O31" s="148"/>
    </row>
    <row r="32" spans="1:15" s="151" customFormat="1" ht="11.45" customHeight="1" x14ac:dyDescent="0.2">
      <c r="A32" s="184" t="s">
        <v>113</v>
      </c>
      <c r="B32" s="819" t="s">
        <v>114</v>
      </c>
      <c r="C32" s="819"/>
      <c r="D32" s="185" t="s">
        <v>191</v>
      </c>
      <c r="E32" s="320" t="s">
        <v>115</v>
      </c>
      <c r="G32" s="152"/>
      <c r="H32" s="321"/>
      <c r="I32" s="152"/>
      <c r="J32" s="152"/>
      <c r="K32" s="152"/>
      <c r="L32" s="152"/>
    </row>
    <row r="33" spans="1:12" s="151" customFormat="1" ht="11.45" customHeight="1" x14ac:dyDescent="0.2">
      <c r="A33" s="75" t="s">
        <v>1060</v>
      </c>
      <c r="B33" s="702" t="s">
        <v>1061</v>
      </c>
      <c r="C33" s="702"/>
      <c r="D33" s="46" t="s">
        <v>38</v>
      </c>
      <c r="E33" s="150">
        <f>SUM('Aviamentos-Pingentes'!H33-('Aviamentos-Pingentes'!H33*Capa!$C$1))</f>
        <v>65</v>
      </c>
      <c r="G33" s="152"/>
      <c r="H33" s="73">
        <v>65</v>
      </c>
      <c r="I33" s="152"/>
      <c r="J33" s="152"/>
      <c r="K33" s="152"/>
      <c r="L33" s="152"/>
    </row>
    <row r="34" spans="1:12" s="151" customFormat="1" ht="11.45" customHeight="1" x14ac:dyDescent="0.2">
      <c r="A34" s="188" t="s">
        <v>1062</v>
      </c>
      <c r="B34" s="701" t="s">
        <v>1063</v>
      </c>
      <c r="C34" s="701"/>
      <c r="D34" s="270" t="s">
        <v>38</v>
      </c>
      <c r="E34" s="323">
        <f>SUM('Aviamentos-Pingentes'!H34-('Aviamentos-Pingentes'!H34*Capa!$C$1))</f>
        <v>175</v>
      </c>
      <c r="G34" s="152"/>
      <c r="H34" s="271">
        <v>175</v>
      </c>
      <c r="I34" s="152"/>
      <c r="J34" s="152"/>
      <c r="K34" s="152"/>
      <c r="L34" s="152"/>
    </row>
    <row r="35" spans="1:12" s="151" customFormat="1" ht="11.45" customHeight="1" x14ac:dyDescent="0.2">
      <c r="A35" s="75" t="s">
        <v>1064</v>
      </c>
      <c r="B35" s="702" t="s">
        <v>1065</v>
      </c>
      <c r="C35" s="702"/>
      <c r="D35" s="46" t="s">
        <v>38</v>
      </c>
      <c r="E35" s="150">
        <f>SUM('Aviamentos-Pingentes'!H35-('Aviamentos-Pingentes'!H35*Capa!$C$1))</f>
        <v>250</v>
      </c>
      <c r="G35" s="152"/>
      <c r="H35" s="73">
        <v>250</v>
      </c>
    </row>
    <row r="36" spans="1:12" s="151" customFormat="1" ht="11.45" customHeight="1" x14ac:dyDescent="0.2">
      <c r="A36" s="188">
        <v>88</v>
      </c>
      <c r="B36" s="701" t="s">
        <v>1068</v>
      </c>
      <c r="C36" s="701"/>
      <c r="D36" s="270" t="s">
        <v>38</v>
      </c>
      <c r="E36" s="323">
        <f>SUM('Aviamentos-Pingentes'!H36-('Aviamentos-Pingentes'!H36*Capa!$C$1))</f>
        <v>29.9</v>
      </c>
      <c r="G36" s="152"/>
      <c r="H36" s="271">
        <v>29.9</v>
      </c>
    </row>
    <row r="37" spans="1:12" s="151" customFormat="1" ht="11.45" customHeight="1" x14ac:dyDescent="0.2">
      <c r="A37" s="75">
        <v>328</v>
      </c>
      <c r="B37" s="702" t="s">
        <v>1067</v>
      </c>
      <c r="C37" s="702"/>
      <c r="D37" s="46" t="s">
        <v>38</v>
      </c>
      <c r="E37" s="150">
        <f>SUM('Aviamentos-Pingentes'!H37-('Aviamentos-Pingentes'!H37*Capa!$C$1))</f>
        <v>130</v>
      </c>
      <c r="H37" s="73">
        <v>130</v>
      </c>
    </row>
    <row r="38" spans="1:12" s="151" customFormat="1" ht="11.45" customHeight="1" x14ac:dyDescent="0.2">
      <c r="A38" s="188">
        <v>322</v>
      </c>
      <c r="B38" s="701" t="s">
        <v>1066</v>
      </c>
      <c r="C38" s="701"/>
      <c r="D38" s="270" t="s">
        <v>38</v>
      </c>
      <c r="E38" s="323">
        <f>SUM('Aviamentos-Pingentes'!H38-('Aviamentos-Pingentes'!H38*Capa!$C$1))</f>
        <v>115</v>
      </c>
      <c r="G38" s="152"/>
      <c r="H38" s="271">
        <v>115</v>
      </c>
      <c r="I38" s="152"/>
      <c r="J38" s="152"/>
      <c r="K38" s="152"/>
      <c r="L38" s="152"/>
    </row>
    <row r="39" spans="1:12" s="151" customFormat="1" ht="11.45" customHeight="1" x14ac:dyDescent="0.2">
      <c r="A39" s="75">
        <v>319</v>
      </c>
      <c r="B39" s="702" t="s">
        <v>1069</v>
      </c>
      <c r="C39" s="702"/>
      <c r="D39" s="46" t="s">
        <v>38</v>
      </c>
      <c r="E39" s="150">
        <f>SUM('Aviamentos-Pingentes'!H39-('Aviamentos-Pingentes'!H39*Capa!$C$1))</f>
        <v>72.959999999999994</v>
      </c>
      <c r="G39" s="152"/>
      <c r="H39" s="73">
        <v>72.959999999999994</v>
      </c>
    </row>
    <row r="40" spans="1:12" s="151" customFormat="1" ht="11.45" customHeight="1" x14ac:dyDescent="0.2">
      <c r="A40" s="188">
        <v>255</v>
      </c>
      <c r="B40" s="701" t="s">
        <v>1070</v>
      </c>
      <c r="C40" s="701"/>
      <c r="D40" s="270" t="s">
        <v>38</v>
      </c>
      <c r="E40" s="323">
        <f>SUM('Aviamentos-Pingentes'!H40-('Aviamentos-Pingentes'!H40*Capa!$C$1))</f>
        <v>190</v>
      </c>
      <c r="G40" s="152"/>
      <c r="H40" s="271">
        <v>190</v>
      </c>
    </row>
    <row r="41" spans="1:12" s="151" customFormat="1" ht="11.45" customHeight="1" x14ac:dyDescent="0.2">
      <c r="A41" s="75" t="s">
        <v>748</v>
      </c>
      <c r="B41" s="702" t="s">
        <v>746</v>
      </c>
      <c r="C41" s="702"/>
      <c r="D41" s="46" t="s">
        <v>38</v>
      </c>
      <c r="E41" s="150">
        <f>SUM('Aviamentos-Pingentes'!H41-('Aviamentos-Pingentes'!H41*Capa!$C$1))</f>
        <v>104</v>
      </c>
      <c r="G41" s="152"/>
      <c r="H41" s="73">
        <v>104</v>
      </c>
    </row>
    <row r="42" spans="1:12" s="151" customFormat="1" ht="11.45" customHeight="1" x14ac:dyDescent="0.2">
      <c r="A42" s="188" t="s">
        <v>747</v>
      </c>
      <c r="B42" s="701" t="s">
        <v>1071</v>
      </c>
      <c r="C42" s="701"/>
      <c r="D42" s="270" t="s">
        <v>38</v>
      </c>
      <c r="E42" s="323">
        <f>SUM('Aviamentos-Pingentes'!H42-('Aviamentos-Pingentes'!H42*Capa!$C$1))</f>
        <v>39.5</v>
      </c>
      <c r="H42" s="271">
        <v>39.5</v>
      </c>
    </row>
    <row r="43" spans="1:12" s="151" customFormat="1" ht="11.45" customHeight="1" x14ac:dyDescent="0.2">
      <c r="A43" s="75" t="s">
        <v>1072</v>
      </c>
      <c r="B43" s="702" t="s">
        <v>1073</v>
      </c>
      <c r="C43" s="702"/>
      <c r="D43" s="46" t="s">
        <v>38</v>
      </c>
      <c r="E43" s="150">
        <f>SUM('Aviamentos-Pingentes'!H43-('Aviamentos-Pingentes'!H43*Capa!$C$1))</f>
        <v>39.5</v>
      </c>
      <c r="G43" s="152"/>
      <c r="H43" s="73">
        <v>39.5</v>
      </c>
      <c r="I43" s="152"/>
      <c r="J43" s="152"/>
      <c r="K43" s="152"/>
      <c r="L43" s="152"/>
    </row>
    <row r="44" spans="1:12" s="151" customFormat="1" ht="11.45" customHeight="1" x14ac:dyDescent="0.2">
      <c r="A44" s="188">
        <v>200</v>
      </c>
      <c r="B44" s="701" t="s">
        <v>1074</v>
      </c>
      <c r="C44" s="701"/>
      <c r="D44" s="270" t="s">
        <v>38</v>
      </c>
      <c r="E44" s="323">
        <f>SUM('Aviamentos-Pingentes'!H44-('Aviamentos-Pingentes'!H44*Capa!$C$1))</f>
        <v>28.8</v>
      </c>
      <c r="G44" s="152"/>
      <c r="H44" s="271">
        <v>28.8</v>
      </c>
    </row>
    <row r="45" spans="1:12" s="151" customFormat="1" ht="11.45" customHeight="1" x14ac:dyDescent="0.2">
      <c r="A45" s="75" t="s">
        <v>1075</v>
      </c>
      <c r="B45" s="702" t="s">
        <v>1076</v>
      </c>
      <c r="C45" s="702"/>
      <c r="D45" s="46" t="s">
        <v>38</v>
      </c>
      <c r="E45" s="150">
        <f>SUM('Aviamentos-Pingentes'!H45-('Aviamentos-Pingentes'!H45*Capa!$C$1))</f>
        <v>28.8</v>
      </c>
      <c r="G45" s="152"/>
      <c r="H45" s="73">
        <v>28.8</v>
      </c>
    </row>
    <row r="46" spans="1:12" s="151" customFormat="1" ht="11.45" customHeight="1" x14ac:dyDescent="0.2">
      <c r="A46" s="322" t="s">
        <v>1077</v>
      </c>
      <c r="B46" s="701" t="s">
        <v>1078</v>
      </c>
      <c r="C46" s="701"/>
      <c r="D46" s="270" t="s">
        <v>38</v>
      </c>
      <c r="E46" s="323">
        <f>SUM(H46-(H46*Capa!$C$1))</f>
        <v>183.2</v>
      </c>
      <c r="H46" s="271">
        <v>183.2</v>
      </c>
    </row>
    <row r="47" spans="1:12" s="151" customFormat="1" ht="11.45" customHeight="1" x14ac:dyDescent="0.2">
      <c r="A47" s="78">
        <v>280</v>
      </c>
      <c r="B47" s="702" t="s">
        <v>1079</v>
      </c>
      <c r="C47" s="702"/>
      <c r="D47" s="46" t="s">
        <v>38</v>
      </c>
      <c r="E47" s="150">
        <f>SUM(H47-(H47*Capa!$C$1))</f>
        <v>149</v>
      </c>
      <c r="G47" s="152"/>
      <c r="H47" s="73">
        <v>149</v>
      </c>
      <c r="I47" s="152"/>
      <c r="J47" s="152"/>
      <c r="K47" s="152"/>
      <c r="L47" s="152"/>
    </row>
    <row r="48" spans="1:12" s="151" customFormat="1" ht="11.45" customHeight="1" x14ac:dyDescent="0.2">
      <c r="A48" s="322">
        <v>269</v>
      </c>
      <c r="B48" s="701" t="s">
        <v>1080</v>
      </c>
      <c r="C48" s="701"/>
      <c r="D48" s="270" t="s">
        <v>38</v>
      </c>
      <c r="E48" s="323">
        <f>SUM(H48-(H48*Capa!$C$1))</f>
        <v>75.989999999999995</v>
      </c>
      <c r="G48" s="152"/>
      <c r="H48" s="271">
        <v>75.989999999999995</v>
      </c>
    </row>
    <row r="49" spans="1:15" s="151" customFormat="1" ht="11.45" customHeight="1" x14ac:dyDescent="0.2">
      <c r="A49" s="78">
        <v>270</v>
      </c>
      <c r="B49" s="702" t="s">
        <v>1081</v>
      </c>
      <c r="C49" s="702"/>
      <c r="D49" s="46" t="s">
        <v>38</v>
      </c>
      <c r="E49" s="150">
        <f>SUM(H49-(H49*Capa!$C$1))</f>
        <v>75.989999999999995</v>
      </c>
      <c r="G49" s="152"/>
      <c r="H49" s="73">
        <v>75.989999999999995</v>
      </c>
    </row>
    <row r="50" spans="1:15" s="151" customFormat="1" ht="11.45" customHeight="1" x14ac:dyDescent="0.2">
      <c r="A50" s="322">
        <v>259</v>
      </c>
      <c r="B50" s="701" t="s">
        <v>1082</v>
      </c>
      <c r="C50" s="701"/>
      <c r="D50" s="270" t="s">
        <v>38</v>
      </c>
      <c r="E50" s="323">
        <f>SUM(H50-(H50*Capa!$C$1))</f>
        <v>41.95</v>
      </c>
      <c r="H50" s="271">
        <v>41.95</v>
      </c>
    </row>
    <row r="51" spans="1:15" s="147" customFormat="1" ht="11.45" customHeight="1" x14ac:dyDescent="0.2">
      <c r="A51" s="78">
        <v>235</v>
      </c>
      <c r="B51" s="702" t="s">
        <v>1083</v>
      </c>
      <c r="C51" s="702"/>
      <c r="D51" s="46" t="s">
        <v>38</v>
      </c>
      <c r="E51" s="150">
        <f>SUM(H51-(H51*Capa!$C$1))</f>
        <v>198</v>
      </c>
      <c r="F51" s="146"/>
      <c r="H51" s="73">
        <v>198</v>
      </c>
    </row>
    <row r="52" spans="1:15" s="151" customFormat="1" ht="11.45" customHeight="1" x14ac:dyDescent="0.2">
      <c r="A52" s="322">
        <v>36</v>
      </c>
      <c r="B52" s="701" t="s">
        <v>1084</v>
      </c>
      <c r="C52" s="701"/>
      <c r="D52" s="270" t="s">
        <v>38</v>
      </c>
      <c r="E52" s="323">
        <f>SUM(H52-(H52*Capa!$C$1))</f>
        <v>85</v>
      </c>
      <c r="G52" s="152"/>
      <c r="H52" s="271">
        <v>85</v>
      </c>
    </row>
    <row r="53" spans="1:15" s="151" customFormat="1" ht="11.45" customHeight="1" x14ac:dyDescent="0.2">
      <c r="A53" s="78">
        <v>206</v>
      </c>
      <c r="B53" s="702" t="s">
        <v>1085</v>
      </c>
      <c r="C53" s="702"/>
      <c r="D53" s="46" t="s">
        <v>38</v>
      </c>
      <c r="E53" s="150">
        <f>SUM(H53-(H53*Capa!$C$1))</f>
        <v>44.9</v>
      </c>
      <c r="G53" s="152"/>
      <c r="H53" s="73">
        <v>44.9</v>
      </c>
    </row>
    <row r="54" spans="1:15" s="151" customFormat="1" ht="11.45" customHeight="1" x14ac:dyDescent="0.2">
      <c r="A54" s="322">
        <v>236</v>
      </c>
      <c r="B54" s="701" t="s">
        <v>1086</v>
      </c>
      <c r="C54" s="701"/>
      <c r="D54" s="270" t="s">
        <v>38</v>
      </c>
      <c r="E54" s="323">
        <f>SUM(H54-(H54*Capa!$C$1))</f>
        <v>133</v>
      </c>
      <c r="G54" s="152"/>
      <c r="H54" s="271">
        <v>133</v>
      </c>
    </row>
    <row r="55" spans="1:15" s="151" customFormat="1" ht="11.45" customHeight="1" x14ac:dyDescent="0.2">
      <c r="A55" s="816" t="s">
        <v>1088</v>
      </c>
      <c r="B55" s="817"/>
      <c r="C55" s="817"/>
      <c r="D55" s="817"/>
      <c r="E55" s="818"/>
      <c r="G55" s="152"/>
      <c r="H55" s="73"/>
      <c r="I55" s="152"/>
      <c r="J55" s="152"/>
      <c r="K55" s="152"/>
      <c r="L55" s="152"/>
      <c r="M55" s="152"/>
      <c r="N55" s="152"/>
      <c r="O55" s="152"/>
    </row>
    <row r="56" spans="1:15" ht="11.45" customHeight="1" x14ac:dyDescent="0.2">
      <c r="A56" s="78" t="s">
        <v>1089</v>
      </c>
      <c r="B56" s="702" t="s">
        <v>1090</v>
      </c>
      <c r="C56" s="702"/>
      <c r="D56" s="46" t="s">
        <v>38</v>
      </c>
      <c r="E56" s="150">
        <f>SUM(H56-(H56*Capa!$C$1))</f>
        <v>24.99</v>
      </c>
      <c r="H56" s="73">
        <v>24.99</v>
      </c>
    </row>
    <row r="57" spans="1:15" ht="11.45" customHeight="1" x14ac:dyDescent="0.2">
      <c r="A57" s="322" t="s">
        <v>1091</v>
      </c>
      <c r="B57" s="701" t="s">
        <v>1092</v>
      </c>
      <c r="C57" s="701"/>
      <c r="D57" s="270" t="s">
        <v>38</v>
      </c>
      <c r="E57" s="323">
        <f>SUM(H57-(H57*Capa!$C$1))</f>
        <v>24.99</v>
      </c>
      <c r="H57" s="271">
        <v>24.99</v>
      </c>
    </row>
    <row r="58" spans="1:15" ht="11.45" customHeight="1" x14ac:dyDescent="0.2">
      <c r="A58" s="78" t="s">
        <v>1093</v>
      </c>
      <c r="B58" s="702" t="s">
        <v>1094</v>
      </c>
      <c r="C58" s="702"/>
      <c r="D58" s="46" t="s">
        <v>38</v>
      </c>
      <c r="E58" s="150">
        <f>SUM(H58-(H58*Capa!$C$1))</f>
        <v>34.99</v>
      </c>
      <c r="H58" s="73">
        <v>34.99</v>
      </c>
    </row>
    <row r="59" spans="1:15" ht="11.45" customHeight="1" x14ac:dyDescent="0.2">
      <c r="A59" s="322" t="s">
        <v>1095</v>
      </c>
      <c r="B59" s="701" t="s">
        <v>1096</v>
      </c>
      <c r="C59" s="701"/>
      <c r="D59" s="270" t="s">
        <v>38</v>
      </c>
      <c r="E59" s="323">
        <f>SUM(H59-(H59*Capa!$C$1))</f>
        <v>34.99</v>
      </c>
      <c r="H59" s="271">
        <v>34.99</v>
      </c>
    </row>
    <row r="60" spans="1:15" ht="11.45" customHeight="1" x14ac:dyDescent="0.2">
      <c r="A60" s="78" t="s">
        <v>1097</v>
      </c>
      <c r="B60" s="702" t="s">
        <v>1098</v>
      </c>
      <c r="C60" s="702"/>
      <c r="D60" s="46" t="s">
        <v>38</v>
      </c>
      <c r="E60" s="150">
        <f>SUM(H60-(H60*Capa!$C$1))</f>
        <v>34.99</v>
      </c>
      <c r="H60" s="73">
        <v>34.99</v>
      </c>
    </row>
    <row r="61" spans="1:15" ht="11.45" customHeight="1" x14ac:dyDescent="0.2">
      <c r="A61" s="322" t="s">
        <v>1099</v>
      </c>
      <c r="B61" s="701" t="s">
        <v>1100</v>
      </c>
      <c r="C61" s="701"/>
      <c r="D61" s="270" t="s">
        <v>38</v>
      </c>
      <c r="E61" s="323">
        <f>SUM(H61-(H61*Capa!$C$1))</f>
        <v>49.99</v>
      </c>
      <c r="H61" s="271">
        <v>49.99</v>
      </c>
    </row>
    <row r="62" spans="1:15" ht="11.45" customHeight="1" x14ac:dyDescent="0.2">
      <c r="A62" s="78" t="s">
        <v>1101</v>
      </c>
      <c r="B62" s="702" t="s">
        <v>1102</v>
      </c>
      <c r="C62" s="702"/>
      <c r="D62" s="46" t="s">
        <v>38</v>
      </c>
      <c r="E62" s="150">
        <f>SUM(H62-(H62*Capa!$C$1))</f>
        <v>49.99</v>
      </c>
      <c r="H62" s="73">
        <v>49.99</v>
      </c>
    </row>
    <row r="63" spans="1:15" ht="11.45" customHeight="1" x14ac:dyDescent="0.2">
      <c r="A63" s="322" t="s">
        <v>1103</v>
      </c>
      <c r="B63" s="701" t="s">
        <v>1104</v>
      </c>
      <c r="C63" s="701"/>
      <c r="D63" s="270" t="s">
        <v>38</v>
      </c>
      <c r="E63" s="323">
        <f>SUM(H63-(H63*Capa!$C$1))</f>
        <v>24.99</v>
      </c>
      <c r="H63" s="271">
        <v>24.99</v>
      </c>
    </row>
    <row r="64" spans="1:15" ht="11.45" customHeight="1" x14ac:dyDescent="0.2">
      <c r="A64" s="78" t="s">
        <v>1105</v>
      </c>
      <c r="B64" s="702" t="s">
        <v>1106</v>
      </c>
      <c r="C64" s="702"/>
      <c r="D64" s="46" t="s">
        <v>38</v>
      </c>
      <c r="E64" s="150">
        <f>SUM(H64-(H64*Capa!$C$1))</f>
        <v>49.99</v>
      </c>
      <c r="H64" s="73">
        <v>49.99</v>
      </c>
    </row>
    <row r="65" spans="1:8" ht="11.45" customHeight="1" x14ac:dyDescent="0.2">
      <c r="A65" s="322" t="s">
        <v>1107</v>
      </c>
      <c r="B65" s="701" t="s">
        <v>1108</v>
      </c>
      <c r="C65" s="701"/>
      <c r="D65" s="270" t="s">
        <v>38</v>
      </c>
      <c r="E65" s="323">
        <f>SUM(H65-(H65*Capa!$C$1))</f>
        <v>49.99</v>
      </c>
      <c r="H65" s="271">
        <v>49.99</v>
      </c>
    </row>
    <row r="66" spans="1:8" ht="11.45" customHeight="1" x14ac:dyDescent="0.2">
      <c r="A66" s="78" t="s">
        <v>1109</v>
      </c>
      <c r="B66" s="702" t="s">
        <v>1110</v>
      </c>
      <c r="C66" s="702"/>
      <c r="D66" s="46" t="s">
        <v>38</v>
      </c>
      <c r="E66" s="150">
        <f>SUM(H66-(H66*Capa!$C$1))</f>
        <v>49.99</v>
      </c>
      <c r="H66" s="73">
        <v>49.99</v>
      </c>
    </row>
    <row r="67" spans="1:8" ht="11.45" customHeight="1" x14ac:dyDescent="0.2">
      <c r="A67" s="322" t="s">
        <v>1111</v>
      </c>
      <c r="B67" s="701" t="s">
        <v>1112</v>
      </c>
      <c r="C67" s="701"/>
      <c r="D67" s="270" t="s">
        <v>38</v>
      </c>
      <c r="E67" s="323">
        <f>SUM(H67-(H67*Capa!$C$1))</f>
        <v>49.99</v>
      </c>
      <c r="H67" s="271">
        <v>49.99</v>
      </c>
    </row>
    <row r="68" spans="1:8" ht="11.45" customHeight="1" x14ac:dyDescent="0.2">
      <c r="A68" s="78" t="s">
        <v>1113</v>
      </c>
      <c r="B68" s="702" t="s">
        <v>1114</v>
      </c>
      <c r="C68" s="702"/>
      <c r="D68" s="46" t="s">
        <v>38</v>
      </c>
      <c r="E68" s="150">
        <f>SUM(H68-(H68*Capa!$C$1))</f>
        <v>49.99</v>
      </c>
      <c r="H68" s="73">
        <v>49.99</v>
      </c>
    </row>
    <row r="69" spans="1:8" ht="11.45" customHeight="1" x14ac:dyDescent="0.2">
      <c r="A69" s="322" t="s">
        <v>1115</v>
      </c>
      <c r="B69" s="701" t="s">
        <v>1116</v>
      </c>
      <c r="C69" s="701"/>
      <c r="D69" s="270" t="s">
        <v>38</v>
      </c>
      <c r="E69" s="323">
        <f>SUM(H69-(H69*Capa!$C$1))</f>
        <v>49.99</v>
      </c>
      <c r="H69" s="271">
        <v>49.99</v>
      </c>
    </row>
    <row r="70" spans="1:8" ht="11.45" customHeight="1" x14ac:dyDescent="0.2">
      <c r="A70" s="78" t="s">
        <v>1117</v>
      </c>
      <c r="B70" s="702" t="s">
        <v>1118</v>
      </c>
      <c r="C70" s="702"/>
      <c r="D70" s="46" t="s">
        <v>38</v>
      </c>
      <c r="E70" s="150">
        <f>SUM(H70-(H70*Capa!$C$1))</f>
        <v>49.99</v>
      </c>
      <c r="H70" s="73">
        <v>49.99</v>
      </c>
    </row>
    <row r="71" spans="1:8" ht="11.45" customHeight="1" x14ac:dyDescent="0.2">
      <c r="A71" s="322" t="s">
        <v>1119</v>
      </c>
      <c r="B71" s="701" t="s">
        <v>1120</v>
      </c>
      <c r="C71" s="701"/>
      <c r="D71" s="270" t="s">
        <v>38</v>
      </c>
      <c r="E71" s="323">
        <f>SUM(H71-(H71*Capa!$C$1))</f>
        <v>49.99</v>
      </c>
      <c r="H71" s="271">
        <v>49.99</v>
      </c>
    </row>
    <row r="72" spans="1:8" ht="11.45" customHeight="1" thickBot="1" x14ac:dyDescent="0.25">
      <c r="A72" s="514" t="s">
        <v>1121</v>
      </c>
      <c r="B72" s="815" t="s">
        <v>1122</v>
      </c>
      <c r="C72" s="815"/>
      <c r="D72" s="439" t="s">
        <v>38</v>
      </c>
      <c r="E72" s="515">
        <f>SUM(H72-(H72*Capa!$C$1))</f>
        <v>49.99</v>
      </c>
      <c r="H72" s="73">
        <v>49.99</v>
      </c>
    </row>
  </sheetData>
  <sheetProtection sheet="1" objects="1" scenarios="1"/>
  <mergeCells count="72">
    <mergeCell ref="B7:C7"/>
    <mergeCell ref="B8:C8"/>
    <mergeCell ref="B56:C56"/>
    <mergeCell ref="B51:C51"/>
    <mergeCell ref="B52:C52"/>
    <mergeCell ref="B53:C53"/>
    <mergeCell ref="B54:C54"/>
    <mergeCell ref="B47:C47"/>
    <mergeCell ref="B30:C30"/>
    <mergeCell ref="B32:C32"/>
    <mergeCell ref="B21:C21"/>
    <mergeCell ref="B24:C24"/>
    <mergeCell ref="B34:C34"/>
    <mergeCell ref="B25:C25"/>
    <mergeCell ref="B26:C26"/>
    <mergeCell ref="B27:C27"/>
    <mergeCell ref="B22:C22"/>
    <mergeCell ref="A31:E31"/>
    <mergeCell ref="A23:E23"/>
    <mergeCell ref="B33:C33"/>
    <mergeCell ref="B18:C18"/>
    <mergeCell ref="B20:C20"/>
    <mergeCell ref="B28:C28"/>
    <mergeCell ref="B29:C29"/>
    <mergeCell ref="A1:E1"/>
    <mergeCell ref="A14:E14"/>
    <mergeCell ref="A19:E19"/>
    <mergeCell ref="B2:C2"/>
    <mergeCell ref="B3:C3"/>
    <mergeCell ref="B4:C4"/>
    <mergeCell ref="B5:C5"/>
    <mergeCell ref="B6:C6"/>
    <mergeCell ref="B9:C9"/>
    <mergeCell ref="B10:C10"/>
    <mergeCell ref="B11:C11"/>
    <mergeCell ref="B15:C15"/>
    <mergeCell ref="B16:C16"/>
    <mergeCell ref="B17:C17"/>
    <mergeCell ref="B12:C12"/>
    <mergeCell ref="B13:C13"/>
    <mergeCell ref="B48:C48"/>
    <mergeCell ref="B49:C49"/>
    <mergeCell ref="B50:C50"/>
    <mergeCell ref="B46:C46"/>
    <mergeCell ref="B35:C35"/>
    <mergeCell ref="B36:C36"/>
    <mergeCell ref="B37:C37"/>
    <mergeCell ref="B38:C38"/>
    <mergeCell ref="B39:C39"/>
    <mergeCell ref="B45:C45"/>
    <mergeCell ref="B40:C40"/>
    <mergeCell ref="B41:C41"/>
    <mergeCell ref="B42:C42"/>
    <mergeCell ref="B44:C44"/>
    <mergeCell ref="B43:C43"/>
    <mergeCell ref="A55:E55"/>
    <mergeCell ref="B63:C63"/>
    <mergeCell ref="B64:C64"/>
    <mergeCell ref="B65:C65"/>
    <mergeCell ref="B66:C66"/>
    <mergeCell ref="B62:C62"/>
    <mergeCell ref="B57:C57"/>
    <mergeCell ref="B58:C58"/>
    <mergeCell ref="B59:C59"/>
    <mergeCell ref="B60:C60"/>
    <mergeCell ref="B61:C61"/>
    <mergeCell ref="B72:C72"/>
    <mergeCell ref="B67:C67"/>
    <mergeCell ref="B68:C68"/>
    <mergeCell ref="B69:C69"/>
    <mergeCell ref="B70:C70"/>
    <mergeCell ref="B71:C71"/>
  </mergeCells>
  <phoneticPr fontId="3" type="noConversion"/>
  <printOptions horizontalCentered="1"/>
  <pageMargins left="0.23622047244094491" right="0.23622047244094491" top="0.39370078740157483" bottom="0.19685039370078741" header="0.19685039370078741" footer="0"/>
  <pageSetup paperSize="9" scale="91" orientation="portrait" r:id="rId1"/>
  <headerFooter>
    <oddFooter>&amp;CPágina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22</vt:i4>
      </vt:variant>
    </vt:vector>
  </HeadingPairs>
  <TitlesOfParts>
    <vt:vector size="44" baseType="lpstr">
      <vt:lpstr>Capa</vt:lpstr>
      <vt:lpstr>Promocionais-Book 06</vt:lpstr>
      <vt:lpstr>Book 10</vt:lpstr>
      <vt:lpstr>Book 12</vt:lpstr>
      <vt:lpstr>Book 13</vt:lpstr>
      <vt:lpstr>Book 14</vt:lpstr>
      <vt:lpstr>Book 15</vt:lpstr>
      <vt:lpstr>Book 16</vt:lpstr>
      <vt:lpstr>Trilho Motorizado</vt:lpstr>
      <vt:lpstr>Varão Prime Montado</vt:lpstr>
      <vt:lpstr>Trilho Slim Montado</vt:lpstr>
      <vt:lpstr>Trilho Square Montado</vt:lpstr>
      <vt:lpstr>Varão Unic 19mm Montado</vt:lpstr>
      <vt:lpstr>Wave-Square-Retangular</vt:lpstr>
      <vt:lpstr>Trilhos</vt:lpstr>
      <vt:lpstr>SUPPVC-Retangular-Unic</vt:lpstr>
      <vt:lpstr>Cor Metal</vt:lpstr>
      <vt:lpstr>Abraçadeira-Ponteira</vt:lpstr>
      <vt:lpstr>Cor Madeira</vt:lpstr>
      <vt:lpstr>Barras</vt:lpstr>
      <vt:lpstr>Broca-Bucha-Parafuso</vt:lpstr>
      <vt:lpstr>Aviamentos-Pingentes</vt:lpstr>
      <vt:lpstr>'Abraçadeira-Ponteira'!Area_de_impressao</vt:lpstr>
      <vt:lpstr>'Aviamentos-Pingentes'!Area_de_impressao</vt:lpstr>
      <vt:lpstr>Barras!Area_de_impressao</vt:lpstr>
      <vt:lpstr>'Book 10'!Area_de_impressao</vt:lpstr>
      <vt:lpstr>'Book 12'!Area_de_impressao</vt:lpstr>
      <vt:lpstr>'Book 13'!Area_de_impressao</vt:lpstr>
      <vt:lpstr>'Book 14'!Area_de_impressao</vt:lpstr>
      <vt:lpstr>'Book 15'!Area_de_impressao</vt:lpstr>
      <vt:lpstr>'Book 16'!Area_de_impressao</vt:lpstr>
      <vt:lpstr>'Broca-Bucha-Parafuso'!Area_de_impressao</vt:lpstr>
      <vt:lpstr>Capa!Area_de_impressao</vt:lpstr>
      <vt:lpstr>'Cor Madeira'!Area_de_impressao</vt:lpstr>
      <vt:lpstr>'Cor Metal'!Area_de_impressao</vt:lpstr>
      <vt:lpstr>'Promocionais-Book 06'!Area_de_impressao</vt:lpstr>
      <vt:lpstr>'SUPPVC-Retangular-Unic'!Area_de_impressao</vt:lpstr>
      <vt:lpstr>'Trilho Motorizado'!Area_de_impressao</vt:lpstr>
      <vt:lpstr>'Trilho Slim Montado'!Area_de_impressao</vt:lpstr>
      <vt:lpstr>'Trilho Square Montado'!Area_de_impressao</vt:lpstr>
      <vt:lpstr>Trilhos!Area_de_impressao</vt:lpstr>
      <vt:lpstr>'Varão Prime Montado'!Area_de_impressao</vt:lpstr>
      <vt:lpstr>'Varão Unic 19mm Montado'!Area_de_impressao</vt:lpstr>
      <vt:lpstr>'Wave-Square-Retangular'!Area_de_impressao</vt:lpstr>
    </vt:vector>
  </TitlesOfParts>
  <Company>MC Alencar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Financeiro@rctecidos.com.br</dc:creator>
  <cp:lastModifiedBy>Tiago Hipolito</cp:lastModifiedBy>
  <cp:lastPrinted>2024-09-05T12:43:21Z</cp:lastPrinted>
  <dcterms:created xsi:type="dcterms:W3CDTF">2005-07-07T17:14:11Z</dcterms:created>
  <dcterms:modified xsi:type="dcterms:W3CDTF">2024-09-18T12:07:40Z</dcterms:modified>
</cp:coreProperties>
</file>